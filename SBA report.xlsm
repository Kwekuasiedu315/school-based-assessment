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ES SYLLABUS\REPORT CARD\UPPER PRIMARY\"/>
    </mc:Choice>
  </mc:AlternateContent>
  <xr:revisionPtr revIDLastSave="0" documentId="13_ncr:1_{DA747C35-1404-475C-A186-0231C3C4875E}" xr6:coauthVersionLast="47" xr6:coauthVersionMax="47" xr10:uidLastSave="{00000000-0000-0000-0000-000000000000}"/>
  <bookViews>
    <workbookView xWindow="-120" yWindow="-120" windowWidth="15600" windowHeight="11040" tabRatio="726" xr2:uid="{00000000-000D-0000-FFFF-FFFF00000000}"/>
  </bookViews>
  <sheets>
    <sheet name="DASHBOARD" sheetId="1" r:id="rId1"/>
    <sheet name="ENGLISH" sheetId="3" r:id="rId2"/>
    <sheet name="MATHS" sheetId="5" r:id="rId3"/>
    <sheet name="SCIENCE" sheetId="6" r:id="rId4"/>
    <sheet name="OWOP" sheetId="7" r:id="rId5"/>
    <sheet name="RME" sheetId="12" r:id="rId6"/>
    <sheet name="COMPUTING" sheetId="8" r:id="rId7"/>
    <sheet name="HISTERY" sheetId="10" r:id="rId8"/>
    <sheet name="GH LANG" sheetId="9" r:id="rId9"/>
    <sheet name="C ARTS" sheetId="11" r:id="rId10"/>
    <sheet name="MASTER-SHEET" sheetId="2" r:id="rId11"/>
    <sheet name="ANALYSIS" sheetId="14" r:id="rId12"/>
    <sheet name="SETTINGS" sheetId="15" r:id="rId13"/>
  </sheets>
  <functionGroups builtInGroupCount="19"/>
  <definedNames>
    <definedName name="_xlnm._FilterDatabase" localSheetId="10" hidden="1">'MASTER-SHEET'!$A$2:$BM$101</definedName>
    <definedName name="class">DASHBOARD!$C$15</definedName>
    <definedName name="class_size">DASHBOARD!$G$15</definedName>
    <definedName name="pass_mark">DASHBOARD!$C$23</definedName>
    <definedName name="promoted">DASHBOARD!#REF!</definedName>
    <definedName name="reopen_date">DASHBOARD!$G$19</definedName>
    <definedName name="selected_school" comment="Name of your selected school">DASHBOARD!$C$21</definedName>
    <definedName name="StudentNames">OFFSET(ANALYSIS!$A$2,0,0,COUNTA(ANALYSIS!$A$2:$A$100),1)</definedName>
    <definedName name="students">DASHBOARD!$J$3:$K$101</definedName>
    <definedName name="term">DASHBOARD!$C$17</definedName>
    <definedName name="total_attendance">DASHBOARD!$G$17</definedName>
    <definedName name="vacation_date">DASHBOARD!$C$19</definedName>
  </definedNames>
  <calcPr calcId="191029"/>
  <customWorkbookViews>
    <customWorkbookView name="App View" guid="{DAFF8696-ECB7-4E31-A620-00DEB4156F0C}" includePrintSettings="0" includeHiddenRowCol="0" maximized="1" xWindow="-8" yWindow="-8" windowWidth="1040" windowHeight="736" tabRatio="64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" l="1"/>
  <c r="K4" i="15" s="1"/>
  <c r="A2" i="14" a="1"/>
  <c r="A2" i="14" s="1"/>
  <c r="D15" i="15" a="1"/>
  <c r="D15" i="15" s="1"/>
  <c r="K9" i="15"/>
  <c r="K8" i="15"/>
  <c r="K7" i="15"/>
  <c r="K6" i="15"/>
  <c r="K5" i="15"/>
  <c r="K3" i="15"/>
  <c r="D27" i="15" a="1"/>
  <c r="D27" i="15" l="1"/>
  <c r="J103" i="12"/>
  <c r="BH101" i="2" s="1"/>
  <c r="G103" i="12"/>
  <c r="H103" i="12" s="1"/>
  <c r="BG101" i="2" s="1"/>
  <c r="J102" i="12"/>
  <c r="BH100" i="2" s="1"/>
  <c r="G102" i="12"/>
  <c r="H102" i="12" s="1"/>
  <c r="J101" i="12"/>
  <c r="BH99" i="2" s="1"/>
  <c r="G101" i="12"/>
  <c r="H101" i="12" s="1"/>
  <c r="BG99" i="2" s="1"/>
  <c r="J100" i="12"/>
  <c r="BH98" i="2" s="1"/>
  <c r="G100" i="12"/>
  <c r="H100" i="12" s="1"/>
  <c r="J99" i="12"/>
  <c r="BH97" i="2" s="1"/>
  <c r="G99" i="12"/>
  <c r="H99" i="12" s="1"/>
  <c r="J98" i="12"/>
  <c r="BH96" i="2" s="1"/>
  <c r="G98" i="12"/>
  <c r="H98" i="12" s="1"/>
  <c r="BG96" i="2" s="1"/>
  <c r="J97" i="12"/>
  <c r="BH95" i="2" s="1"/>
  <c r="G97" i="12"/>
  <c r="H97" i="12" s="1"/>
  <c r="BG95" i="2" s="1"/>
  <c r="J96" i="12"/>
  <c r="BH94" i="2" s="1"/>
  <c r="G96" i="12"/>
  <c r="H96" i="12" s="1"/>
  <c r="BG94" i="2" s="1"/>
  <c r="J95" i="12"/>
  <c r="BH93" i="2" s="1"/>
  <c r="G95" i="12"/>
  <c r="H95" i="12" s="1"/>
  <c r="J94" i="12"/>
  <c r="BH92" i="2" s="1"/>
  <c r="G94" i="12"/>
  <c r="H94" i="12" s="1"/>
  <c r="BG92" i="2" s="1"/>
  <c r="J93" i="12"/>
  <c r="BH91" i="2" s="1"/>
  <c r="G93" i="12"/>
  <c r="H93" i="12" s="1"/>
  <c r="BG91" i="2" s="1"/>
  <c r="J92" i="12"/>
  <c r="BH90" i="2" s="1"/>
  <c r="G92" i="12"/>
  <c r="H92" i="12" s="1"/>
  <c r="BG90" i="2" s="1"/>
  <c r="J91" i="12"/>
  <c r="BH89" i="2" s="1"/>
  <c r="G91" i="12"/>
  <c r="H91" i="12" s="1"/>
  <c r="J90" i="12"/>
  <c r="BH88" i="2" s="1"/>
  <c r="G90" i="12"/>
  <c r="H90" i="12" s="1"/>
  <c r="BG88" i="2" s="1"/>
  <c r="J89" i="12"/>
  <c r="BH87" i="2" s="1"/>
  <c r="G89" i="12"/>
  <c r="H89" i="12" s="1"/>
  <c r="BG87" i="2" s="1"/>
  <c r="J88" i="12"/>
  <c r="BH86" i="2" s="1"/>
  <c r="G88" i="12"/>
  <c r="H88" i="12" s="1"/>
  <c r="BG86" i="2" s="1"/>
  <c r="J87" i="12"/>
  <c r="BH85" i="2" s="1"/>
  <c r="G87" i="12"/>
  <c r="H87" i="12" s="1"/>
  <c r="J86" i="12"/>
  <c r="BH84" i="2" s="1"/>
  <c r="G86" i="12"/>
  <c r="H86" i="12" s="1"/>
  <c r="BG84" i="2" s="1"/>
  <c r="J85" i="12"/>
  <c r="BH83" i="2" s="1"/>
  <c r="G85" i="12"/>
  <c r="H85" i="12" s="1"/>
  <c r="BG83" i="2" s="1"/>
  <c r="J84" i="12"/>
  <c r="BH82" i="2" s="1"/>
  <c r="G84" i="12"/>
  <c r="H84" i="12" s="1"/>
  <c r="BG82" i="2" s="1"/>
  <c r="J83" i="12"/>
  <c r="BH81" i="2" s="1"/>
  <c r="G83" i="12"/>
  <c r="H83" i="12" s="1"/>
  <c r="J82" i="12"/>
  <c r="BH80" i="2" s="1"/>
  <c r="G82" i="12"/>
  <c r="H82" i="12" s="1"/>
  <c r="BG80" i="2" s="1"/>
  <c r="J81" i="12"/>
  <c r="BH79" i="2" s="1"/>
  <c r="G81" i="12"/>
  <c r="H81" i="12" s="1"/>
  <c r="BG79" i="2" s="1"/>
  <c r="J80" i="12"/>
  <c r="BH78" i="2" s="1"/>
  <c r="G80" i="12"/>
  <c r="H80" i="12" s="1"/>
  <c r="BG78" i="2" s="1"/>
  <c r="J79" i="12"/>
  <c r="BH77" i="2" s="1"/>
  <c r="G79" i="12"/>
  <c r="H79" i="12" s="1"/>
  <c r="J78" i="12"/>
  <c r="BH76" i="2" s="1"/>
  <c r="G78" i="12"/>
  <c r="H78" i="12" s="1"/>
  <c r="BG76" i="2" s="1"/>
  <c r="J77" i="12"/>
  <c r="BH75" i="2" s="1"/>
  <c r="G77" i="12"/>
  <c r="H77" i="12" s="1"/>
  <c r="BG75" i="2" s="1"/>
  <c r="J76" i="12"/>
  <c r="BH74" i="2" s="1"/>
  <c r="G76" i="12"/>
  <c r="H76" i="12" s="1"/>
  <c r="BG74" i="2" s="1"/>
  <c r="J75" i="12"/>
  <c r="BH73" i="2" s="1"/>
  <c r="G75" i="12"/>
  <c r="H75" i="12" s="1"/>
  <c r="J74" i="12"/>
  <c r="BH72" i="2" s="1"/>
  <c r="G74" i="12"/>
  <c r="H74" i="12" s="1"/>
  <c r="BG72" i="2" s="1"/>
  <c r="J73" i="12"/>
  <c r="BH71" i="2" s="1"/>
  <c r="G73" i="12"/>
  <c r="H73" i="12" s="1"/>
  <c r="BG71" i="2" s="1"/>
  <c r="J72" i="12"/>
  <c r="BH70" i="2" s="1"/>
  <c r="G72" i="12"/>
  <c r="H72" i="12" s="1"/>
  <c r="BG70" i="2" s="1"/>
  <c r="J71" i="12"/>
  <c r="BH69" i="2" s="1"/>
  <c r="G71" i="12"/>
  <c r="H71" i="12" s="1"/>
  <c r="J70" i="12"/>
  <c r="BH68" i="2" s="1"/>
  <c r="G70" i="12"/>
  <c r="H70" i="12" s="1"/>
  <c r="BG68" i="2" s="1"/>
  <c r="J69" i="12"/>
  <c r="BH67" i="2" s="1"/>
  <c r="G69" i="12"/>
  <c r="H69" i="12" s="1"/>
  <c r="BG67" i="2" s="1"/>
  <c r="J68" i="12"/>
  <c r="BH66" i="2" s="1"/>
  <c r="G68" i="12"/>
  <c r="H68" i="12" s="1"/>
  <c r="BG66" i="2" s="1"/>
  <c r="J67" i="12"/>
  <c r="BH65" i="2" s="1"/>
  <c r="G67" i="12"/>
  <c r="H67" i="12" s="1"/>
  <c r="J66" i="12"/>
  <c r="BH64" i="2" s="1"/>
  <c r="G66" i="12"/>
  <c r="H66" i="12" s="1"/>
  <c r="BG64" i="2" s="1"/>
  <c r="J65" i="12"/>
  <c r="BH63" i="2" s="1"/>
  <c r="G65" i="12"/>
  <c r="H65" i="12" s="1"/>
  <c r="J64" i="12"/>
  <c r="BH62" i="2" s="1"/>
  <c r="G64" i="12"/>
  <c r="H64" i="12" s="1"/>
  <c r="J63" i="12"/>
  <c r="BH61" i="2" s="1"/>
  <c r="G63" i="12"/>
  <c r="H63" i="12" s="1"/>
  <c r="J62" i="12"/>
  <c r="BH60" i="2" s="1"/>
  <c r="G62" i="12"/>
  <c r="H62" i="12" s="1"/>
  <c r="J61" i="12"/>
  <c r="BH59" i="2" s="1"/>
  <c r="G61" i="12"/>
  <c r="H61" i="12" s="1"/>
  <c r="BG59" i="2" s="1"/>
  <c r="J60" i="12"/>
  <c r="BH58" i="2" s="1"/>
  <c r="G60" i="12"/>
  <c r="H60" i="12" s="1"/>
  <c r="BG58" i="2" s="1"/>
  <c r="J59" i="12"/>
  <c r="BH57" i="2" s="1"/>
  <c r="G59" i="12"/>
  <c r="H59" i="12" s="1"/>
  <c r="BG57" i="2" s="1"/>
  <c r="J58" i="12"/>
  <c r="BH56" i="2" s="1"/>
  <c r="G58" i="12"/>
  <c r="H58" i="12" s="1"/>
  <c r="BG56" i="2" s="1"/>
  <c r="J57" i="12"/>
  <c r="BH55" i="2" s="1"/>
  <c r="G57" i="12"/>
  <c r="H57" i="12" s="1"/>
  <c r="J56" i="12"/>
  <c r="BH54" i="2" s="1"/>
  <c r="G56" i="12"/>
  <c r="H56" i="12" s="1"/>
  <c r="J55" i="12"/>
  <c r="BH53" i="2" s="1"/>
  <c r="G55" i="12"/>
  <c r="H55" i="12" s="1"/>
  <c r="J54" i="12"/>
  <c r="BH52" i="2" s="1"/>
  <c r="G54" i="12"/>
  <c r="H54" i="12" s="1"/>
  <c r="J53" i="12"/>
  <c r="BH51" i="2" s="1"/>
  <c r="G53" i="12"/>
  <c r="H53" i="12" s="1"/>
  <c r="BG51" i="2" s="1"/>
  <c r="J52" i="12"/>
  <c r="BH50" i="2" s="1"/>
  <c r="G52" i="12"/>
  <c r="H52" i="12" s="1"/>
  <c r="BG50" i="2" s="1"/>
  <c r="J51" i="12"/>
  <c r="BH49" i="2" s="1"/>
  <c r="G51" i="12"/>
  <c r="H51" i="12" s="1"/>
  <c r="BG49" i="2" s="1"/>
  <c r="J50" i="12"/>
  <c r="BH48" i="2" s="1"/>
  <c r="G50" i="12"/>
  <c r="H50" i="12" s="1"/>
  <c r="BG48" i="2" s="1"/>
  <c r="J49" i="12"/>
  <c r="BH47" i="2" s="1"/>
  <c r="G49" i="12"/>
  <c r="H49" i="12" s="1"/>
  <c r="J48" i="12"/>
  <c r="BH46" i="2" s="1"/>
  <c r="G48" i="12"/>
  <c r="H48" i="12" s="1"/>
  <c r="J47" i="12"/>
  <c r="BH45" i="2" s="1"/>
  <c r="G47" i="12"/>
  <c r="H47" i="12" s="1"/>
  <c r="J46" i="12"/>
  <c r="BH44" i="2" s="1"/>
  <c r="G46" i="12"/>
  <c r="H46" i="12" s="1"/>
  <c r="J45" i="12"/>
  <c r="BH43" i="2" s="1"/>
  <c r="G45" i="12"/>
  <c r="H45" i="12" s="1"/>
  <c r="J44" i="12"/>
  <c r="BH42" i="2" s="1"/>
  <c r="G44" i="12"/>
  <c r="H44" i="12" s="1"/>
  <c r="J43" i="12"/>
  <c r="BH41" i="2" s="1"/>
  <c r="G43" i="12"/>
  <c r="H43" i="12" s="1"/>
  <c r="J42" i="12"/>
  <c r="BH40" i="2" s="1"/>
  <c r="G42" i="12"/>
  <c r="H42" i="12" s="1"/>
  <c r="BG40" i="2" s="1"/>
  <c r="J41" i="12"/>
  <c r="BH39" i="2" s="1"/>
  <c r="G41" i="12"/>
  <c r="H41" i="12" s="1"/>
  <c r="J40" i="12"/>
  <c r="BH38" i="2" s="1"/>
  <c r="G40" i="12"/>
  <c r="H40" i="12" s="1"/>
  <c r="J39" i="12"/>
  <c r="BH37" i="2" s="1"/>
  <c r="G39" i="12"/>
  <c r="H39" i="12" s="1"/>
  <c r="J38" i="12"/>
  <c r="BH36" i="2" s="1"/>
  <c r="G38" i="12"/>
  <c r="H38" i="12" s="1"/>
  <c r="J37" i="12"/>
  <c r="BH35" i="2" s="1"/>
  <c r="G37" i="12"/>
  <c r="H37" i="12" s="1"/>
  <c r="J36" i="12"/>
  <c r="BH34" i="2" s="1"/>
  <c r="G36" i="12"/>
  <c r="H36" i="12" s="1"/>
  <c r="J35" i="12"/>
  <c r="BH33" i="2" s="1"/>
  <c r="G35" i="12"/>
  <c r="H35" i="12" s="1"/>
  <c r="J34" i="12"/>
  <c r="BH32" i="2" s="1"/>
  <c r="G34" i="12"/>
  <c r="H34" i="12" s="1"/>
  <c r="BG32" i="2" s="1"/>
  <c r="J33" i="12"/>
  <c r="BH31" i="2" s="1"/>
  <c r="G33" i="12"/>
  <c r="H33" i="12" s="1"/>
  <c r="J32" i="12"/>
  <c r="BH30" i="2" s="1"/>
  <c r="G32" i="12"/>
  <c r="H32" i="12" s="1"/>
  <c r="J31" i="12"/>
  <c r="BH29" i="2" s="1"/>
  <c r="G31" i="12"/>
  <c r="H31" i="12" s="1"/>
  <c r="J30" i="12"/>
  <c r="BH28" i="2" s="1"/>
  <c r="G30" i="12"/>
  <c r="H30" i="12" s="1"/>
  <c r="J29" i="12"/>
  <c r="BH27" i="2" s="1"/>
  <c r="G29" i="12"/>
  <c r="H29" i="12" s="1"/>
  <c r="J28" i="12"/>
  <c r="BH26" i="2" s="1"/>
  <c r="G28" i="12"/>
  <c r="H28" i="12" s="1"/>
  <c r="J27" i="12"/>
  <c r="BH25" i="2" s="1"/>
  <c r="G27" i="12"/>
  <c r="H27" i="12" s="1"/>
  <c r="J26" i="12"/>
  <c r="BH24" i="2" s="1"/>
  <c r="G26" i="12"/>
  <c r="H26" i="12" s="1"/>
  <c r="BG24" i="2" s="1"/>
  <c r="J25" i="12"/>
  <c r="BH23" i="2" s="1"/>
  <c r="G25" i="12"/>
  <c r="H25" i="12" s="1"/>
  <c r="J24" i="12"/>
  <c r="BH22" i="2" s="1"/>
  <c r="G24" i="12"/>
  <c r="H24" i="12" s="1"/>
  <c r="J23" i="12"/>
  <c r="BH21" i="2" s="1"/>
  <c r="G23" i="12"/>
  <c r="H23" i="12" s="1"/>
  <c r="J22" i="12"/>
  <c r="BH20" i="2" s="1"/>
  <c r="G22" i="12"/>
  <c r="H22" i="12" s="1"/>
  <c r="J21" i="12"/>
  <c r="BH19" i="2" s="1"/>
  <c r="G21" i="12"/>
  <c r="H21" i="12" s="1"/>
  <c r="J20" i="12"/>
  <c r="BH18" i="2" s="1"/>
  <c r="G20" i="12"/>
  <c r="H20" i="12" s="1"/>
  <c r="J19" i="12"/>
  <c r="BH17" i="2" s="1"/>
  <c r="G19" i="12"/>
  <c r="H19" i="12" s="1"/>
  <c r="J18" i="12"/>
  <c r="BH16" i="2" s="1"/>
  <c r="G18" i="12"/>
  <c r="H18" i="12" s="1"/>
  <c r="BG16" i="2" s="1"/>
  <c r="J17" i="12"/>
  <c r="BH15" i="2" s="1"/>
  <c r="G17" i="12"/>
  <c r="H17" i="12" s="1"/>
  <c r="J16" i="12"/>
  <c r="BH14" i="2" s="1"/>
  <c r="G16" i="12"/>
  <c r="H16" i="12" s="1"/>
  <c r="J15" i="12"/>
  <c r="BH13" i="2" s="1"/>
  <c r="G15" i="12"/>
  <c r="H15" i="12" s="1"/>
  <c r="BG13" i="2" s="1"/>
  <c r="J14" i="12"/>
  <c r="BH12" i="2" s="1"/>
  <c r="G14" i="12"/>
  <c r="H14" i="12" s="1"/>
  <c r="BG12" i="2" s="1"/>
  <c r="J13" i="12"/>
  <c r="BH11" i="2" s="1"/>
  <c r="G13" i="12"/>
  <c r="H13" i="12" s="1"/>
  <c r="BG11" i="2" s="1"/>
  <c r="J12" i="12"/>
  <c r="BH10" i="2" s="1"/>
  <c r="G12" i="12"/>
  <c r="H12" i="12" s="1"/>
  <c r="BG10" i="2" s="1"/>
  <c r="J11" i="12"/>
  <c r="BH9" i="2" s="1"/>
  <c r="G11" i="12"/>
  <c r="H11" i="12" s="1"/>
  <c r="BG9" i="2" s="1"/>
  <c r="J10" i="12"/>
  <c r="BH8" i="2" s="1"/>
  <c r="G10" i="12"/>
  <c r="H10" i="12" s="1"/>
  <c r="BG8" i="2" s="1"/>
  <c r="J9" i="12"/>
  <c r="BH7" i="2" s="1"/>
  <c r="G9" i="12"/>
  <c r="H9" i="12" s="1"/>
  <c r="BG7" i="2" s="1"/>
  <c r="J8" i="12"/>
  <c r="BH6" i="2" s="1"/>
  <c r="G8" i="12"/>
  <c r="H8" i="12" s="1"/>
  <c r="BG6" i="2" s="1"/>
  <c r="J7" i="12"/>
  <c r="BH5" i="2" s="1"/>
  <c r="G7" i="12"/>
  <c r="H7" i="12" s="1"/>
  <c r="BG5" i="2" s="1"/>
  <c r="J6" i="12"/>
  <c r="BH4" i="2" s="1"/>
  <c r="G6" i="12"/>
  <c r="H6" i="12" s="1"/>
  <c r="BG4" i="2" s="1"/>
  <c r="J5" i="12"/>
  <c r="BH3" i="2" s="1"/>
  <c r="G5" i="12"/>
  <c r="H5" i="12" s="1"/>
  <c r="A5" i="12" a="1"/>
  <c r="A5" i="12" s="1"/>
  <c r="J103" i="11"/>
  <c r="AF101" i="2" s="1"/>
  <c r="G103" i="11"/>
  <c r="H103" i="11" s="1"/>
  <c r="J102" i="11"/>
  <c r="AF100" i="2" s="1"/>
  <c r="G102" i="11"/>
  <c r="H102" i="11" s="1"/>
  <c r="J101" i="11"/>
  <c r="AF99" i="2" s="1"/>
  <c r="G101" i="11"/>
  <c r="H101" i="11" s="1"/>
  <c r="AE99" i="2" s="1"/>
  <c r="J100" i="11"/>
  <c r="AF98" i="2" s="1"/>
  <c r="G100" i="11"/>
  <c r="H100" i="11" s="1"/>
  <c r="J99" i="11"/>
  <c r="AF97" i="2" s="1"/>
  <c r="G99" i="11"/>
  <c r="H99" i="11" s="1"/>
  <c r="AE97" i="2" s="1"/>
  <c r="J98" i="11"/>
  <c r="AF96" i="2" s="1"/>
  <c r="G98" i="11"/>
  <c r="H98" i="11" s="1"/>
  <c r="J97" i="11"/>
  <c r="AF95" i="2" s="1"/>
  <c r="G97" i="11"/>
  <c r="H97" i="11" s="1"/>
  <c r="J96" i="11"/>
  <c r="AF94" i="2" s="1"/>
  <c r="G96" i="11"/>
  <c r="H96" i="11" s="1"/>
  <c r="J95" i="11"/>
  <c r="AF93" i="2" s="1"/>
  <c r="G95" i="11"/>
  <c r="H95" i="11" s="1"/>
  <c r="J94" i="11"/>
  <c r="AF92" i="2" s="1"/>
  <c r="G94" i="11"/>
  <c r="H94" i="11" s="1"/>
  <c r="J93" i="11"/>
  <c r="AF91" i="2" s="1"/>
  <c r="G93" i="11"/>
  <c r="H93" i="11" s="1"/>
  <c r="AE91" i="2" s="1"/>
  <c r="J92" i="11"/>
  <c r="AF90" i="2" s="1"/>
  <c r="G92" i="11"/>
  <c r="H92" i="11" s="1"/>
  <c r="J91" i="11"/>
  <c r="AF89" i="2" s="1"/>
  <c r="G91" i="11"/>
  <c r="H91" i="11" s="1"/>
  <c r="AE89" i="2" s="1"/>
  <c r="J90" i="11"/>
  <c r="AF88" i="2" s="1"/>
  <c r="G90" i="11"/>
  <c r="H90" i="11" s="1"/>
  <c r="J89" i="11"/>
  <c r="AF87" i="2" s="1"/>
  <c r="G89" i="11"/>
  <c r="H89" i="11" s="1"/>
  <c r="J88" i="11"/>
  <c r="AF86" i="2" s="1"/>
  <c r="G88" i="11"/>
  <c r="H88" i="11" s="1"/>
  <c r="J87" i="11"/>
  <c r="AF85" i="2" s="1"/>
  <c r="G87" i="11"/>
  <c r="H87" i="11" s="1"/>
  <c r="AE85" i="2" s="1"/>
  <c r="J86" i="11"/>
  <c r="AF84" i="2" s="1"/>
  <c r="G86" i="11"/>
  <c r="H86" i="11" s="1"/>
  <c r="J85" i="11"/>
  <c r="AF83" i="2" s="1"/>
  <c r="G85" i="11"/>
  <c r="H85" i="11" s="1"/>
  <c r="J84" i="11"/>
  <c r="AF82" i="2" s="1"/>
  <c r="G84" i="11"/>
  <c r="H84" i="11" s="1"/>
  <c r="AE82" i="2" s="1"/>
  <c r="J83" i="11"/>
  <c r="AF81" i="2" s="1"/>
  <c r="G83" i="11"/>
  <c r="H83" i="11" s="1"/>
  <c r="AE81" i="2" s="1"/>
  <c r="J82" i="11"/>
  <c r="AF80" i="2" s="1"/>
  <c r="G82" i="11"/>
  <c r="H82" i="11" s="1"/>
  <c r="J81" i="11"/>
  <c r="AF79" i="2" s="1"/>
  <c r="G81" i="11"/>
  <c r="H81" i="11" s="1"/>
  <c r="J80" i="11"/>
  <c r="AF78" i="2" s="1"/>
  <c r="G80" i="11"/>
  <c r="H80" i="11" s="1"/>
  <c r="AE78" i="2" s="1"/>
  <c r="J79" i="11"/>
  <c r="AF77" i="2" s="1"/>
  <c r="G79" i="11"/>
  <c r="H79" i="11" s="1"/>
  <c r="AE77" i="2" s="1"/>
  <c r="J78" i="11"/>
  <c r="AF76" i="2" s="1"/>
  <c r="G78" i="11"/>
  <c r="H78" i="11" s="1"/>
  <c r="J77" i="11"/>
  <c r="AF75" i="2" s="1"/>
  <c r="G77" i="11"/>
  <c r="H77" i="11" s="1"/>
  <c r="J76" i="11"/>
  <c r="AF74" i="2" s="1"/>
  <c r="G76" i="11"/>
  <c r="H76" i="11" s="1"/>
  <c r="AE74" i="2" s="1"/>
  <c r="J75" i="11"/>
  <c r="AF73" i="2" s="1"/>
  <c r="G75" i="11"/>
  <c r="H75" i="11" s="1"/>
  <c r="AE73" i="2" s="1"/>
  <c r="J74" i="11"/>
  <c r="AF72" i="2" s="1"/>
  <c r="G74" i="11"/>
  <c r="H74" i="11" s="1"/>
  <c r="J73" i="11"/>
  <c r="AF71" i="2" s="1"/>
  <c r="G73" i="11"/>
  <c r="H73" i="11" s="1"/>
  <c r="J72" i="11"/>
  <c r="AF70" i="2" s="1"/>
  <c r="G72" i="11"/>
  <c r="H72" i="11" s="1"/>
  <c r="AE70" i="2" s="1"/>
  <c r="J71" i="11"/>
  <c r="AF69" i="2" s="1"/>
  <c r="G71" i="11"/>
  <c r="H71" i="11" s="1"/>
  <c r="J70" i="11"/>
  <c r="AF68" i="2" s="1"/>
  <c r="G70" i="11"/>
  <c r="H70" i="11" s="1"/>
  <c r="AE68" i="2" s="1"/>
  <c r="J69" i="11"/>
  <c r="AF67" i="2" s="1"/>
  <c r="G69" i="11"/>
  <c r="H69" i="11" s="1"/>
  <c r="J68" i="11"/>
  <c r="AF66" i="2" s="1"/>
  <c r="G68" i="11"/>
  <c r="H68" i="11" s="1"/>
  <c r="AE66" i="2" s="1"/>
  <c r="J67" i="11"/>
  <c r="AF65" i="2" s="1"/>
  <c r="G67" i="11"/>
  <c r="H67" i="11" s="1"/>
  <c r="J66" i="11"/>
  <c r="AF64" i="2" s="1"/>
  <c r="G66" i="11"/>
  <c r="H66" i="11" s="1"/>
  <c r="AE64" i="2" s="1"/>
  <c r="J65" i="11"/>
  <c r="AF63" i="2" s="1"/>
  <c r="G65" i="11"/>
  <c r="H65" i="11" s="1"/>
  <c r="J64" i="11"/>
  <c r="AF62" i="2" s="1"/>
  <c r="G64" i="11"/>
  <c r="H64" i="11" s="1"/>
  <c r="AE62" i="2" s="1"/>
  <c r="J63" i="11"/>
  <c r="AF61" i="2" s="1"/>
  <c r="G63" i="11"/>
  <c r="H63" i="11" s="1"/>
  <c r="AE61" i="2" s="1"/>
  <c r="J62" i="11"/>
  <c r="AF60" i="2" s="1"/>
  <c r="G62" i="11"/>
  <c r="H62" i="11" s="1"/>
  <c r="J61" i="11"/>
  <c r="AF59" i="2" s="1"/>
  <c r="G61" i="11"/>
  <c r="H61" i="11" s="1"/>
  <c r="J60" i="11"/>
  <c r="AF58" i="2" s="1"/>
  <c r="G60" i="11"/>
  <c r="H60" i="11" s="1"/>
  <c r="AE58" i="2" s="1"/>
  <c r="J59" i="11"/>
  <c r="AF57" i="2" s="1"/>
  <c r="G59" i="11"/>
  <c r="H59" i="11" s="1"/>
  <c r="AE57" i="2" s="1"/>
  <c r="J58" i="11"/>
  <c r="AF56" i="2" s="1"/>
  <c r="G58" i="11"/>
  <c r="H58" i="11" s="1"/>
  <c r="J57" i="11"/>
  <c r="AF55" i="2" s="1"/>
  <c r="G57" i="11"/>
  <c r="H57" i="11" s="1"/>
  <c r="J56" i="11"/>
  <c r="AF54" i="2" s="1"/>
  <c r="G56" i="11"/>
  <c r="H56" i="11" s="1"/>
  <c r="J55" i="11"/>
  <c r="AF53" i="2" s="1"/>
  <c r="G55" i="11"/>
  <c r="H55" i="11" s="1"/>
  <c r="AE53" i="2" s="1"/>
  <c r="J54" i="11"/>
  <c r="AF52" i="2" s="1"/>
  <c r="G54" i="11"/>
  <c r="H54" i="11" s="1"/>
  <c r="AE52" i="2" s="1"/>
  <c r="J53" i="11"/>
  <c r="AF51" i="2" s="1"/>
  <c r="G53" i="11"/>
  <c r="H53" i="11" s="1"/>
  <c r="J52" i="11"/>
  <c r="AF50" i="2" s="1"/>
  <c r="G52" i="11"/>
  <c r="H52" i="11" s="1"/>
  <c r="J51" i="11"/>
  <c r="AF49" i="2" s="1"/>
  <c r="G51" i="11"/>
  <c r="H51" i="11" s="1"/>
  <c r="AE49" i="2" s="1"/>
  <c r="J50" i="11"/>
  <c r="AF48" i="2" s="1"/>
  <c r="G50" i="11"/>
  <c r="H50" i="11" s="1"/>
  <c r="AE48" i="2" s="1"/>
  <c r="J49" i="11"/>
  <c r="AF47" i="2" s="1"/>
  <c r="G49" i="11"/>
  <c r="H49" i="11" s="1"/>
  <c r="J48" i="11"/>
  <c r="AF46" i="2" s="1"/>
  <c r="G48" i="11"/>
  <c r="H48" i="11" s="1"/>
  <c r="J47" i="11"/>
  <c r="AF45" i="2" s="1"/>
  <c r="G47" i="11"/>
  <c r="H47" i="11" s="1"/>
  <c r="J46" i="11"/>
  <c r="AF44" i="2" s="1"/>
  <c r="G46" i="11"/>
  <c r="H46" i="11" s="1"/>
  <c r="AE44" i="2" s="1"/>
  <c r="J45" i="11"/>
  <c r="AF43" i="2" s="1"/>
  <c r="G45" i="11"/>
  <c r="H45" i="11" s="1"/>
  <c r="J44" i="11"/>
  <c r="AF42" i="2" s="1"/>
  <c r="G44" i="11"/>
  <c r="H44" i="11" s="1"/>
  <c r="AE42" i="2" s="1"/>
  <c r="J43" i="11"/>
  <c r="AF41" i="2" s="1"/>
  <c r="G43" i="11"/>
  <c r="H43" i="11" s="1"/>
  <c r="J42" i="11"/>
  <c r="AF40" i="2" s="1"/>
  <c r="G42" i="11"/>
  <c r="H42" i="11" s="1"/>
  <c r="J41" i="11"/>
  <c r="AF39" i="2" s="1"/>
  <c r="G41" i="11"/>
  <c r="H41" i="11" s="1"/>
  <c r="J40" i="11"/>
  <c r="AF38" i="2" s="1"/>
  <c r="G40" i="11"/>
  <c r="H40" i="11" s="1"/>
  <c r="J39" i="11"/>
  <c r="AF37" i="2" s="1"/>
  <c r="G39" i="11"/>
  <c r="H39" i="11" s="1"/>
  <c r="J38" i="11"/>
  <c r="AF36" i="2" s="1"/>
  <c r="G38" i="11"/>
  <c r="H38" i="11" s="1"/>
  <c r="AE36" i="2" s="1"/>
  <c r="J37" i="11"/>
  <c r="AF35" i="2" s="1"/>
  <c r="G37" i="11"/>
  <c r="H37" i="11" s="1"/>
  <c r="J36" i="11"/>
  <c r="AF34" i="2" s="1"/>
  <c r="G36" i="11"/>
  <c r="H36" i="11" s="1"/>
  <c r="AE34" i="2" s="1"/>
  <c r="J35" i="11"/>
  <c r="AF33" i="2" s="1"/>
  <c r="G35" i="11"/>
  <c r="H35" i="11" s="1"/>
  <c r="J34" i="11"/>
  <c r="AF32" i="2" s="1"/>
  <c r="G34" i="11"/>
  <c r="H34" i="11" s="1"/>
  <c r="J33" i="11"/>
  <c r="AF31" i="2" s="1"/>
  <c r="G33" i="11"/>
  <c r="H33" i="11" s="1"/>
  <c r="J32" i="11"/>
  <c r="AF30" i="2" s="1"/>
  <c r="G32" i="11"/>
  <c r="H32" i="11" s="1"/>
  <c r="J31" i="11"/>
  <c r="AF29" i="2" s="1"/>
  <c r="G31" i="11"/>
  <c r="H31" i="11" s="1"/>
  <c r="J30" i="11"/>
  <c r="G30" i="11"/>
  <c r="H30" i="11" s="1"/>
  <c r="AE28" i="2" s="1"/>
  <c r="J29" i="11"/>
  <c r="AF27" i="2" s="1"/>
  <c r="G29" i="11"/>
  <c r="H29" i="11" s="1"/>
  <c r="J28" i="11"/>
  <c r="AF26" i="2" s="1"/>
  <c r="G28" i="11"/>
  <c r="H28" i="11" s="1"/>
  <c r="AE26" i="2" s="1"/>
  <c r="J27" i="11"/>
  <c r="AF25" i="2" s="1"/>
  <c r="G27" i="11"/>
  <c r="H27" i="11" s="1"/>
  <c r="J26" i="11"/>
  <c r="AF24" i="2" s="1"/>
  <c r="G26" i="11"/>
  <c r="H26" i="11" s="1"/>
  <c r="J25" i="11"/>
  <c r="AF23" i="2" s="1"/>
  <c r="G25" i="11"/>
  <c r="H25" i="11" s="1"/>
  <c r="J24" i="11"/>
  <c r="AF22" i="2" s="1"/>
  <c r="G24" i="11"/>
  <c r="H24" i="11" s="1"/>
  <c r="J23" i="11"/>
  <c r="AF21" i="2" s="1"/>
  <c r="G23" i="11"/>
  <c r="H23" i="11" s="1"/>
  <c r="J22" i="11"/>
  <c r="AF20" i="2" s="1"/>
  <c r="G22" i="11"/>
  <c r="H22" i="11" s="1"/>
  <c r="AE20" i="2" s="1"/>
  <c r="J21" i="11"/>
  <c r="AF19" i="2" s="1"/>
  <c r="G21" i="11"/>
  <c r="H21" i="11" s="1"/>
  <c r="J20" i="11"/>
  <c r="AF18" i="2" s="1"/>
  <c r="G20" i="11"/>
  <c r="H20" i="11" s="1"/>
  <c r="AE18" i="2" s="1"/>
  <c r="J19" i="11"/>
  <c r="AF17" i="2" s="1"/>
  <c r="G19" i="11"/>
  <c r="H19" i="11" s="1"/>
  <c r="J18" i="11"/>
  <c r="AF16" i="2" s="1"/>
  <c r="G18" i="11"/>
  <c r="H18" i="11" s="1"/>
  <c r="J17" i="11"/>
  <c r="AF15" i="2" s="1"/>
  <c r="G17" i="11"/>
  <c r="H17" i="11" s="1"/>
  <c r="AE15" i="2" s="1"/>
  <c r="J16" i="11"/>
  <c r="AF14" i="2" s="1"/>
  <c r="G16" i="11"/>
  <c r="H16" i="11" s="1"/>
  <c r="AE14" i="2" s="1"/>
  <c r="J15" i="11"/>
  <c r="AF13" i="2" s="1"/>
  <c r="G15" i="11"/>
  <c r="H15" i="11" s="1"/>
  <c r="AE13" i="2" s="1"/>
  <c r="J14" i="11"/>
  <c r="AF12" i="2" s="1"/>
  <c r="G14" i="11"/>
  <c r="H14" i="11" s="1"/>
  <c r="AE12" i="2" s="1"/>
  <c r="J13" i="11"/>
  <c r="AF11" i="2" s="1"/>
  <c r="G13" i="11"/>
  <c r="H13" i="11" s="1"/>
  <c r="AE11" i="2" s="1"/>
  <c r="J12" i="11"/>
  <c r="AF10" i="2" s="1"/>
  <c r="G12" i="11"/>
  <c r="H12" i="11" s="1"/>
  <c r="AE10" i="2" s="1"/>
  <c r="J11" i="11"/>
  <c r="AF9" i="2" s="1"/>
  <c r="G11" i="11"/>
  <c r="H11" i="11" s="1"/>
  <c r="AE9" i="2" s="1"/>
  <c r="J10" i="11"/>
  <c r="AF8" i="2" s="1"/>
  <c r="G10" i="11"/>
  <c r="H10" i="11" s="1"/>
  <c r="AE8" i="2" s="1"/>
  <c r="J9" i="11"/>
  <c r="AF7" i="2" s="1"/>
  <c r="G9" i="11"/>
  <c r="H9" i="11" s="1"/>
  <c r="AE7" i="2" s="1"/>
  <c r="J8" i="11"/>
  <c r="AF6" i="2" s="1"/>
  <c r="G8" i="11"/>
  <c r="H8" i="11" s="1"/>
  <c r="AE6" i="2" s="1"/>
  <c r="J7" i="11"/>
  <c r="AF5" i="2" s="1"/>
  <c r="G7" i="11"/>
  <c r="H7" i="11" s="1"/>
  <c r="AE5" i="2" s="1"/>
  <c r="J6" i="11"/>
  <c r="AF4" i="2" s="1"/>
  <c r="G6" i="11"/>
  <c r="H6" i="11" s="1"/>
  <c r="AE4" i="2" s="1"/>
  <c r="J5" i="11"/>
  <c r="AF3" i="2" s="1"/>
  <c r="G5" i="11"/>
  <c r="H5" i="11" s="1"/>
  <c r="A5" i="11" a="1"/>
  <c r="A5" i="11" s="1"/>
  <c r="J103" i="10"/>
  <c r="BA101" i="2" s="1"/>
  <c r="G103" i="10"/>
  <c r="H103" i="10" s="1"/>
  <c r="J102" i="10"/>
  <c r="BA100" i="2" s="1"/>
  <c r="G102" i="10"/>
  <c r="H102" i="10" s="1"/>
  <c r="J101" i="10"/>
  <c r="BA99" i="2" s="1"/>
  <c r="G101" i="10"/>
  <c r="H101" i="10" s="1"/>
  <c r="AZ99" i="2" s="1"/>
  <c r="J100" i="10"/>
  <c r="BA98" i="2" s="1"/>
  <c r="G100" i="10"/>
  <c r="H100" i="10" s="1"/>
  <c r="J99" i="10"/>
  <c r="BA97" i="2" s="1"/>
  <c r="G99" i="10"/>
  <c r="H99" i="10" s="1"/>
  <c r="AZ97" i="2" s="1"/>
  <c r="J98" i="10"/>
  <c r="BA96" i="2" s="1"/>
  <c r="G98" i="10"/>
  <c r="H98" i="10" s="1"/>
  <c r="J97" i="10"/>
  <c r="BA95" i="2" s="1"/>
  <c r="G97" i="10"/>
  <c r="H97" i="10" s="1"/>
  <c r="J96" i="10"/>
  <c r="BA94" i="2" s="1"/>
  <c r="G96" i="10"/>
  <c r="H96" i="10" s="1"/>
  <c r="J95" i="10"/>
  <c r="BA93" i="2" s="1"/>
  <c r="G95" i="10"/>
  <c r="H95" i="10" s="1"/>
  <c r="AZ93" i="2" s="1"/>
  <c r="J94" i="10"/>
  <c r="BA92" i="2" s="1"/>
  <c r="G94" i="10"/>
  <c r="H94" i="10" s="1"/>
  <c r="J93" i="10"/>
  <c r="BA91" i="2" s="1"/>
  <c r="G93" i="10"/>
  <c r="H93" i="10" s="1"/>
  <c r="J92" i="10"/>
  <c r="BA90" i="2" s="1"/>
  <c r="G92" i="10"/>
  <c r="H92" i="10" s="1"/>
  <c r="AZ90" i="2" s="1"/>
  <c r="J91" i="10"/>
  <c r="BA89" i="2" s="1"/>
  <c r="G91" i="10"/>
  <c r="H91" i="10" s="1"/>
  <c r="AZ89" i="2" s="1"/>
  <c r="J90" i="10"/>
  <c r="BA88" i="2" s="1"/>
  <c r="G90" i="10"/>
  <c r="H90" i="10" s="1"/>
  <c r="J89" i="10"/>
  <c r="BA87" i="2" s="1"/>
  <c r="G89" i="10"/>
  <c r="H89" i="10" s="1"/>
  <c r="J88" i="10"/>
  <c r="BA86" i="2" s="1"/>
  <c r="G88" i="10"/>
  <c r="H88" i="10" s="1"/>
  <c r="AZ86" i="2" s="1"/>
  <c r="J87" i="10"/>
  <c r="BA85" i="2" s="1"/>
  <c r="G87" i="10"/>
  <c r="H87" i="10" s="1"/>
  <c r="J86" i="10"/>
  <c r="BA84" i="2" s="1"/>
  <c r="G86" i="10"/>
  <c r="H86" i="10" s="1"/>
  <c r="J85" i="10"/>
  <c r="BA83" i="2" s="1"/>
  <c r="G85" i="10"/>
  <c r="H85" i="10" s="1"/>
  <c r="J84" i="10"/>
  <c r="BA82" i="2" s="1"/>
  <c r="G84" i="10"/>
  <c r="H84" i="10" s="1"/>
  <c r="AZ82" i="2" s="1"/>
  <c r="J83" i="10"/>
  <c r="BA81" i="2" s="1"/>
  <c r="G83" i="10"/>
  <c r="H83" i="10" s="1"/>
  <c r="J82" i="10"/>
  <c r="BA80" i="2" s="1"/>
  <c r="G82" i="10"/>
  <c r="H82" i="10" s="1"/>
  <c r="J81" i="10"/>
  <c r="BA79" i="2" s="1"/>
  <c r="G81" i="10"/>
  <c r="H81" i="10" s="1"/>
  <c r="J80" i="10"/>
  <c r="BA78" i="2" s="1"/>
  <c r="G80" i="10"/>
  <c r="H80" i="10" s="1"/>
  <c r="AZ78" i="2" s="1"/>
  <c r="J79" i="10"/>
  <c r="BA77" i="2" s="1"/>
  <c r="G79" i="10"/>
  <c r="H79" i="10" s="1"/>
  <c r="J78" i="10"/>
  <c r="BA76" i="2" s="1"/>
  <c r="G78" i="10"/>
  <c r="H78" i="10" s="1"/>
  <c r="J77" i="10"/>
  <c r="BA75" i="2" s="1"/>
  <c r="G77" i="10"/>
  <c r="H77" i="10" s="1"/>
  <c r="J76" i="10"/>
  <c r="BA74" i="2" s="1"/>
  <c r="G76" i="10"/>
  <c r="H76" i="10" s="1"/>
  <c r="AZ74" i="2" s="1"/>
  <c r="J75" i="10"/>
  <c r="BA73" i="2" s="1"/>
  <c r="G75" i="10"/>
  <c r="H75" i="10" s="1"/>
  <c r="J74" i="10"/>
  <c r="BA72" i="2" s="1"/>
  <c r="G74" i="10"/>
  <c r="H74" i="10" s="1"/>
  <c r="AZ72" i="2" s="1"/>
  <c r="J73" i="10"/>
  <c r="BA71" i="2" s="1"/>
  <c r="G73" i="10"/>
  <c r="H73" i="10" s="1"/>
  <c r="J72" i="10"/>
  <c r="BA70" i="2" s="1"/>
  <c r="G72" i="10"/>
  <c r="H72" i="10" s="1"/>
  <c r="AZ70" i="2" s="1"/>
  <c r="J71" i="10"/>
  <c r="BA69" i="2" s="1"/>
  <c r="G71" i="10"/>
  <c r="H71" i="10" s="1"/>
  <c r="J70" i="10"/>
  <c r="BA68" i="2" s="1"/>
  <c r="G70" i="10"/>
  <c r="H70" i="10" s="1"/>
  <c r="J69" i="10"/>
  <c r="BA67" i="2" s="1"/>
  <c r="G69" i="10"/>
  <c r="H69" i="10" s="1"/>
  <c r="J68" i="10"/>
  <c r="BA66" i="2" s="1"/>
  <c r="G68" i="10"/>
  <c r="H68" i="10" s="1"/>
  <c r="AZ66" i="2" s="1"/>
  <c r="J67" i="10"/>
  <c r="BA65" i="2" s="1"/>
  <c r="G67" i="10"/>
  <c r="H67" i="10" s="1"/>
  <c r="AZ65" i="2" s="1"/>
  <c r="J66" i="10"/>
  <c r="BA64" i="2" s="1"/>
  <c r="G66" i="10"/>
  <c r="H66" i="10" s="1"/>
  <c r="J65" i="10"/>
  <c r="BA63" i="2" s="1"/>
  <c r="G65" i="10"/>
  <c r="H65" i="10" s="1"/>
  <c r="J64" i="10"/>
  <c r="BA62" i="2" s="1"/>
  <c r="G64" i="10"/>
  <c r="H64" i="10" s="1"/>
  <c r="AZ62" i="2" s="1"/>
  <c r="J63" i="10"/>
  <c r="BA61" i="2" s="1"/>
  <c r="G63" i="10"/>
  <c r="H63" i="10" s="1"/>
  <c r="J62" i="10"/>
  <c r="BA60" i="2" s="1"/>
  <c r="G62" i="10"/>
  <c r="H62" i="10" s="1"/>
  <c r="J61" i="10"/>
  <c r="BA59" i="2" s="1"/>
  <c r="G61" i="10"/>
  <c r="H61" i="10" s="1"/>
  <c r="J60" i="10"/>
  <c r="BA58" i="2" s="1"/>
  <c r="G60" i="10"/>
  <c r="H60" i="10" s="1"/>
  <c r="AZ58" i="2" s="1"/>
  <c r="J59" i="10"/>
  <c r="BA57" i="2" s="1"/>
  <c r="G59" i="10"/>
  <c r="H59" i="10" s="1"/>
  <c r="J58" i="10"/>
  <c r="BA56" i="2" s="1"/>
  <c r="G58" i="10"/>
  <c r="H58" i="10" s="1"/>
  <c r="AZ56" i="2" s="1"/>
  <c r="J57" i="10"/>
  <c r="BA55" i="2" s="1"/>
  <c r="G57" i="10"/>
  <c r="H57" i="10" s="1"/>
  <c r="J56" i="10"/>
  <c r="BA54" i="2" s="1"/>
  <c r="G56" i="10"/>
  <c r="H56" i="10" s="1"/>
  <c r="J55" i="10"/>
  <c r="BA53" i="2" s="1"/>
  <c r="G55" i="10"/>
  <c r="H55" i="10" s="1"/>
  <c r="J54" i="10"/>
  <c r="BA52" i="2" s="1"/>
  <c r="G54" i="10"/>
  <c r="H54" i="10" s="1"/>
  <c r="J53" i="10"/>
  <c r="BA51" i="2" s="1"/>
  <c r="G53" i="10"/>
  <c r="H53" i="10" s="1"/>
  <c r="J52" i="10"/>
  <c r="BA50" i="2" s="1"/>
  <c r="G52" i="10"/>
  <c r="H52" i="10" s="1"/>
  <c r="AZ50" i="2" s="1"/>
  <c r="J51" i="10"/>
  <c r="BA49" i="2" s="1"/>
  <c r="G51" i="10"/>
  <c r="H51" i="10" s="1"/>
  <c r="J50" i="10"/>
  <c r="BA48" i="2" s="1"/>
  <c r="G50" i="10"/>
  <c r="H50" i="10" s="1"/>
  <c r="J49" i="10"/>
  <c r="BA47" i="2" s="1"/>
  <c r="G49" i="10"/>
  <c r="H49" i="10" s="1"/>
  <c r="J48" i="10"/>
  <c r="BA46" i="2" s="1"/>
  <c r="G48" i="10"/>
  <c r="H48" i="10" s="1"/>
  <c r="J47" i="10"/>
  <c r="BA45" i="2" s="1"/>
  <c r="G47" i="10"/>
  <c r="H47" i="10" s="1"/>
  <c r="J46" i="10"/>
  <c r="BA44" i="2" s="1"/>
  <c r="G46" i="10"/>
  <c r="H46" i="10" s="1"/>
  <c r="J45" i="10"/>
  <c r="BA43" i="2" s="1"/>
  <c r="G45" i="10"/>
  <c r="H45" i="10" s="1"/>
  <c r="J44" i="10"/>
  <c r="BA42" i="2" s="1"/>
  <c r="G44" i="10"/>
  <c r="H44" i="10" s="1"/>
  <c r="J43" i="10"/>
  <c r="BA41" i="2" s="1"/>
  <c r="G43" i="10"/>
  <c r="H43" i="10" s="1"/>
  <c r="AZ41" i="2" s="1"/>
  <c r="J42" i="10"/>
  <c r="BA40" i="2" s="1"/>
  <c r="G42" i="10"/>
  <c r="H42" i="10" s="1"/>
  <c r="AZ40" i="2" s="1"/>
  <c r="J41" i="10"/>
  <c r="BA39" i="2" s="1"/>
  <c r="G41" i="10"/>
  <c r="H41" i="10" s="1"/>
  <c r="J40" i="10"/>
  <c r="BA38" i="2" s="1"/>
  <c r="G40" i="10"/>
  <c r="H40" i="10" s="1"/>
  <c r="AZ38" i="2" s="1"/>
  <c r="J39" i="10"/>
  <c r="BA37" i="2" s="1"/>
  <c r="G39" i="10"/>
  <c r="H39" i="10" s="1"/>
  <c r="J38" i="10"/>
  <c r="BA36" i="2" s="1"/>
  <c r="G38" i="10"/>
  <c r="H38" i="10" s="1"/>
  <c r="J37" i="10"/>
  <c r="BA35" i="2" s="1"/>
  <c r="G37" i="10"/>
  <c r="H37" i="10" s="1"/>
  <c r="J36" i="10"/>
  <c r="BA34" i="2" s="1"/>
  <c r="G36" i="10"/>
  <c r="H36" i="10" s="1"/>
  <c r="J35" i="10"/>
  <c r="BA33" i="2" s="1"/>
  <c r="G35" i="10"/>
  <c r="H35" i="10" s="1"/>
  <c r="AZ33" i="2" s="1"/>
  <c r="J34" i="10"/>
  <c r="BA32" i="2" s="1"/>
  <c r="G34" i="10"/>
  <c r="H34" i="10" s="1"/>
  <c r="AZ32" i="2" s="1"/>
  <c r="J33" i="10"/>
  <c r="BA31" i="2" s="1"/>
  <c r="G33" i="10"/>
  <c r="H33" i="10" s="1"/>
  <c r="J32" i="10"/>
  <c r="BA30" i="2" s="1"/>
  <c r="G32" i="10"/>
  <c r="H32" i="10" s="1"/>
  <c r="AZ30" i="2" s="1"/>
  <c r="J31" i="10"/>
  <c r="BA29" i="2" s="1"/>
  <c r="G31" i="10"/>
  <c r="H31" i="10" s="1"/>
  <c r="J30" i="10"/>
  <c r="BA28" i="2" s="1"/>
  <c r="G30" i="10"/>
  <c r="H30" i="10" s="1"/>
  <c r="J29" i="10"/>
  <c r="BA27" i="2" s="1"/>
  <c r="G29" i="10"/>
  <c r="H29" i="10" s="1"/>
  <c r="J28" i="10"/>
  <c r="BA26" i="2" s="1"/>
  <c r="G28" i="10"/>
  <c r="H28" i="10" s="1"/>
  <c r="J27" i="10"/>
  <c r="BA25" i="2" s="1"/>
  <c r="G27" i="10"/>
  <c r="H27" i="10" s="1"/>
  <c r="AZ25" i="2" s="1"/>
  <c r="J26" i="10"/>
  <c r="BA24" i="2" s="1"/>
  <c r="G26" i="10"/>
  <c r="H26" i="10" s="1"/>
  <c r="AZ24" i="2" s="1"/>
  <c r="J25" i="10"/>
  <c r="BA23" i="2" s="1"/>
  <c r="G25" i="10"/>
  <c r="H25" i="10" s="1"/>
  <c r="J24" i="10"/>
  <c r="BA22" i="2" s="1"/>
  <c r="G24" i="10"/>
  <c r="H24" i="10" s="1"/>
  <c r="AZ22" i="2" s="1"/>
  <c r="J23" i="10"/>
  <c r="BA21" i="2" s="1"/>
  <c r="G23" i="10"/>
  <c r="H23" i="10" s="1"/>
  <c r="J22" i="10"/>
  <c r="BA20" i="2" s="1"/>
  <c r="G22" i="10"/>
  <c r="H22" i="10" s="1"/>
  <c r="J21" i="10"/>
  <c r="BA19" i="2" s="1"/>
  <c r="G21" i="10"/>
  <c r="H21" i="10" s="1"/>
  <c r="J20" i="10"/>
  <c r="BA18" i="2" s="1"/>
  <c r="G20" i="10"/>
  <c r="H20" i="10" s="1"/>
  <c r="J19" i="10"/>
  <c r="BA17" i="2" s="1"/>
  <c r="G19" i="10"/>
  <c r="H19" i="10" s="1"/>
  <c r="AZ17" i="2" s="1"/>
  <c r="J18" i="10"/>
  <c r="BA16" i="2" s="1"/>
  <c r="G18" i="10"/>
  <c r="H18" i="10" s="1"/>
  <c r="AZ16" i="2" s="1"/>
  <c r="J17" i="10"/>
  <c r="BA15" i="2" s="1"/>
  <c r="G17" i="10"/>
  <c r="H17" i="10" s="1"/>
  <c r="J16" i="10"/>
  <c r="BA14" i="2" s="1"/>
  <c r="G16" i="10"/>
  <c r="H16" i="10" s="1"/>
  <c r="AZ14" i="2" s="1"/>
  <c r="J15" i="10"/>
  <c r="BA13" i="2" s="1"/>
  <c r="G15" i="10"/>
  <c r="H15" i="10" s="1"/>
  <c r="J14" i="10"/>
  <c r="BA12" i="2" s="1"/>
  <c r="G14" i="10"/>
  <c r="H14" i="10" s="1"/>
  <c r="J13" i="10"/>
  <c r="BA11" i="2" s="1"/>
  <c r="G13" i="10"/>
  <c r="H13" i="10" s="1"/>
  <c r="AZ11" i="2" s="1"/>
  <c r="J12" i="10"/>
  <c r="BA10" i="2" s="1"/>
  <c r="G12" i="10"/>
  <c r="H12" i="10" s="1"/>
  <c r="AZ10" i="2" s="1"/>
  <c r="J11" i="10"/>
  <c r="BA9" i="2" s="1"/>
  <c r="G11" i="10"/>
  <c r="H11" i="10" s="1"/>
  <c r="AZ9" i="2" s="1"/>
  <c r="J10" i="10"/>
  <c r="BA8" i="2" s="1"/>
  <c r="G10" i="10"/>
  <c r="H10" i="10" s="1"/>
  <c r="AZ8" i="2" s="1"/>
  <c r="J9" i="10"/>
  <c r="BA7" i="2" s="1"/>
  <c r="G9" i="10"/>
  <c r="H9" i="10" s="1"/>
  <c r="AZ7" i="2" s="1"/>
  <c r="J8" i="10"/>
  <c r="BA6" i="2" s="1"/>
  <c r="G8" i="10"/>
  <c r="H8" i="10" s="1"/>
  <c r="AZ6" i="2" s="1"/>
  <c r="J7" i="10"/>
  <c r="BA5" i="2" s="1"/>
  <c r="G7" i="10"/>
  <c r="H7" i="10" s="1"/>
  <c r="AZ5" i="2" s="1"/>
  <c r="J6" i="10"/>
  <c r="BA4" i="2" s="1"/>
  <c r="G6" i="10"/>
  <c r="H6" i="10" s="1"/>
  <c r="AZ4" i="2" s="1"/>
  <c r="J5" i="10"/>
  <c r="BA3" i="2" s="1"/>
  <c r="G5" i="10"/>
  <c r="H5" i="10" s="1"/>
  <c r="AZ3" i="2" s="1"/>
  <c r="A5" i="10" a="1"/>
  <c r="A5" i="10" s="1"/>
  <c r="J103" i="9"/>
  <c r="AM101" i="2" s="1"/>
  <c r="G103" i="9"/>
  <c r="H103" i="9" s="1"/>
  <c r="J102" i="9"/>
  <c r="AM100" i="2" s="1"/>
  <c r="G102" i="9"/>
  <c r="H102" i="9" s="1"/>
  <c r="J101" i="9"/>
  <c r="AM99" i="2" s="1"/>
  <c r="G101" i="9"/>
  <c r="H101" i="9" s="1"/>
  <c r="J100" i="9"/>
  <c r="AM98" i="2" s="1"/>
  <c r="G100" i="9"/>
  <c r="H100" i="9" s="1"/>
  <c r="J99" i="9"/>
  <c r="AM97" i="2" s="1"/>
  <c r="G99" i="9"/>
  <c r="H99" i="9" s="1"/>
  <c r="J98" i="9"/>
  <c r="AM96" i="2" s="1"/>
  <c r="G98" i="9"/>
  <c r="H98" i="9" s="1"/>
  <c r="J97" i="9"/>
  <c r="AM95" i="2" s="1"/>
  <c r="G97" i="9"/>
  <c r="H97" i="9" s="1"/>
  <c r="J96" i="9"/>
  <c r="AM94" i="2" s="1"/>
  <c r="G96" i="9"/>
  <c r="H96" i="9" s="1"/>
  <c r="J95" i="9"/>
  <c r="AM93" i="2" s="1"/>
  <c r="G95" i="9"/>
  <c r="H95" i="9" s="1"/>
  <c r="J94" i="9"/>
  <c r="AM92" i="2" s="1"/>
  <c r="G94" i="9"/>
  <c r="H94" i="9" s="1"/>
  <c r="J93" i="9"/>
  <c r="AM91" i="2" s="1"/>
  <c r="G93" i="9"/>
  <c r="H93" i="9" s="1"/>
  <c r="J92" i="9"/>
  <c r="AM90" i="2" s="1"/>
  <c r="G92" i="9"/>
  <c r="H92" i="9" s="1"/>
  <c r="J91" i="9"/>
  <c r="AM89" i="2" s="1"/>
  <c r="G91" i="9"/>
  <c r="H91" i="9" s="1"/>
  <c r="J90" i="9"/>
  <c r="AM88" i="2" s="1"/>
  <c r="G90" i="9"/>
  <c r="H90" i="9" s="1"/>
  <c r="J89" i="9"/>
  <c r="AM87" i="2" s="1"/>
  <c r="G89" i="9"/>
  <c r="H89" i="9" s="1"/>
  <c r="J88" i="9"/>
  <c r="AM86" i="2" s="1"/>
  <c r="G88" i="9"/>
  <c r="H88" i="9" s="1"/>
  <c r="J87" i="9"/>
  <c r="AM85" i="2" s="1"/>
  <c r="G87" i="9"/>
  <c r="H87" i="9" s="1"/>
  <c r="J86" i="9"/>
  <c r="AM84" i="2" s="1"/>
  <c r="G86" i="9"/>
  <c r="H86" i="9" s="1"/>
  <c r="J85" i="9"/>
  <c r="AM83" i="2" s="1"/>
  <c r="G85" i="9"/>
  <c r="H85" i="9" s="1"/>
  <c r="J84" i="9"/>
  <c r="AM82" i="2" s="1"/>
  <c r="G84" i="9"/>
  <c r="H84" i="9" s="1"/>
  <c r="J83" i="9"/>
  <c r="AM81" i="2" s="1"/>
  <c r="G83" i="9"/>
  <c r="H83" i="9" s="1"/>
  <c r="J82" i="9"/>
  <c r="AM80" i="2" s="1"/>
  <c r="G82" i="9"/>
  <c r="H82" i="9" s="1"/>
  <c r="J81" i="9"/>
  <c r="AM79" i="2" s="1"/>
  <c r="G81" i="9"/>
  <c r="H81" i="9" s="1"/>
  <c r="J80" i="9"/>
  <c r="AM78" i="2" s="1"/>
  <c r="G80" i="9"/>
  <c r="H80" i="9" s="1"/>
  <c r="J79" i="9"/>
  <c r="G79" i="9"/>
  <c r="H79" i="9" s="1"/>
  <c r="AL77" i="2" s="1"/>
  <c r="J78" i="9"/>
  <c r="AM76" i="2" s="1"/>
  <c r="G78" i="9"/>
  <c r="H78" i="9" s="1"/>
  <c r="AL76" i="2" s="1"/>
  <c r="J77" i="9"/>
  <c r="AM75" i="2" s="1"/>
  <c r="G77" i="9"/>
  <c r="H77" i="9" s="1"/>
  <c r="AL75" i="2" s="1"/>
  <c r="J76" i="9"/>
  <c r="AM74" i="2" s="1"/>
  <c r="G76" i="9"/>
  <c r="H76" i="9" s="1"/>
  <c r="J75" i="9"/>
  <c r="AM73" i="2" s="1"/>
  <c r="G75" i="9"/>
  <c r="H75" i="9" s="1"/>
  <c r="J74" i="9"/>
  <c r="AM72" i="2" s="1"/>
  <c r="G74" i="9"/>
  <c r="H74" i="9" s="1"/>
  <c r="J73" i="9"/>
  <c r="AM71" i="2" s="1"/>
  <c r="G73" i="9"/>
  <c r="H73" i="9" s="1"/>
  <c r="J72" i="9"/>
  <c r="AM70" i="2" s="1"/>
  <c r="G72" i="9"/>
  <c r="H72" i="9" s="1"/>
  <c r="AL70" i="2" s="1"/>
  <c r="J71" i="9"/>
  <c r="AM69" i="2" s="1"/>
  <c r="G71" i="9"/>
  <c r="H71" i="9" s="1"/>
  <c r="AL69" i="2" s="1"/>
  <c r="J70" i="9"/>
  <c r="AM68" i="2" s="1"/>
  <c r="G70" i="9"/>
  <c r="H70" i="9" s="1"/>
  <c r="AL68" i="2" s="1"/>
  <c r="J69" i="9"/>
  <c r="AM67" i="2" s="1"/>
  <c r="G69" i="9"/>
  <c r="H69" i="9" s="1"/>
  <c r="AL67" i="2" s="1"/>
  <c r="J68" i="9"/>
  <c r="AM66" i="2" s="1"/>
  <c r="G68" i="9"/>
  <c r="H68" i="9" s="1"/>
  <c r="J67" i="9"/>
  <c r="AM65" i="2" s="1"/>
  <c r="G67" i="9"/>
  <c r="H67" i="9" s="1"/>
  <c r="J66" i="9"/>
  <c r="AM64" i="2" s="1"/>
  <c r="G66" i="9"/>
  <c r="H66" i="9" s="1"/>
  <c r="J65" i="9"/>
  <c r="AM63" i="2" s="1"/>
  <c r="G65" i="9"/>
  <c r="H65" i="9" s="1"/>
  <c r="AL63" i="2" s="1"/>
  <c r="J64" i="9"/>
  <c r="AM62" i="2" s="1"/>
  <c r="G64" i="9"/>
  <c r="H64" i="9" s="1"/>
  <c r="J63" i="9"/>
  <c r="AM61" i="2" s="1"/>
  <c r="G63" i="9"/>
  <c r="H63" i="9" s="1"/>
  <c r="AL61" i="2" s="1"/>
  <c r="J62" i="9"/>
  <c r="AM60" i="2" s="1"/>
  <c r="G62" i="9"/>
  <c r="H62" i="9" s="1"/>
  <c r="J61" i="9"/>
  <c r="AM59" i="2" s="1"/>
  <c r="G61" i="9"/>
  <c r="H61" i="9" s="1"/>
  <c r="J60" i="9"/>
  <c r="AM58" i="2" s="1"/>
  <c r="G60" i="9"/>
  <c r="H60" i="9" s="1"/>
  <c r="J59" i="9"/>
  <c r="AM57" i="2" s="1"/>
  <c r="G59" i="9"/>
  <c r="H59" i="9" s="1"/>
  <c r="J58" i="9"/>
  <c r="AM56" i="2" s="1"/>
  <c r="G58" i="9"/>
  <c r="H58" i="9" s="1"/>
  <c r="J57" i="9"/>
  <c r="AM55" i="2" s="1"/>
  <c r="G57" i="9"/>
  <c r="H57" i="9" s="1"/>
  <c r="AL55" i="2" s="1"/>
  <c r="J56" i="9"/>
  <c r="AM54" i="2" s="1"/>
  <c r="G56" i="9"/>
  <c r="H56" i="9" s="1"/>
  <c r="AL54" i="2" s="1"/>
  <c r="J55" i="9"/>
  <c r="AM53" i="2" s="1"/>
  <c r="G55" i="9"/>
  <c r="H55" i="9" s="1"/>
  <c r="AL53" i="2" s="1"/>
  <c r="J54" i="9"/>
  <c r="AM52" i="2" s="1"/>
  <c r="G54" i="9"/>
  <c r="H54" i="9" s="1"/>
  <c r="AL52" i="2" s="1"/>
  <c r="J53" i="9"/>
  <c r="AM51" i="2" s="1"/>
  <c r="G53" i="9"/>
  <c r="H53" i="9" s="1"/>
  <c r="AL51" i="2" s="1"/>
  <c r="J52" i="9"/>
  <c r="AM50" i="2" s="1"/>
  <c r="G52" i="9"/>
  <c r="H52" i="9" s="1"/>
  <c r="J51" i="9"/>
  <c r="AM49" i="2" s="1"/>
  <c r="G51" i="9"/>
  <c r="H51" i="9" s="1"/>
  <c r="AL49" i="2" s="1"/>
  <c r="J50" i="9"/>
  <c r="AM48" i="2" s="1"/>
  <c r="G50" i="9"/>
  <c r="H50" i="9" s="1"/>
  <c r="AL48" i="2" s="1"/>
  <c r="J49" i="9"/>
  <c r="AM47" i="2" s="1"/>
  <c r="G49" i="9"/>
  <c r="H49" i="9" s="1"/>
  <c r="AL47" i="2" s="1"/>
  <c r="J48" i="9"/>
  <c r="AM46" i="2" s="1"/>
  <c r="G48" i="9"/>
  <c r="H48" i="9" s="1"/>
  <c r="J47" i="9"/>
  <c r="AM45" i="2" s="1"/>
  <c r="G47" i="9"/>
  <c r="H47" i="9" s="1"/>
  <c r="AL45" i="2" s="1"/>
  <c r="J46" i="9"/>
  <c r="AM44" i="2" s="1"/>
  <c r="G46" i="9"/>
  <c r="H46" i="9" s="1"/>
  <c r="AL44" i="2" s="1"/>
  <c r="J45" i="9"/>
  <c r="AM43" i="2" s="1"/>
  <c r="G45" i="9"/>
  <c r="H45" i="9" s="1"/>
  <c r="AL43" i="2" s="1"/>
  <c r="J44" i="9"/>
  <c r="AM42" i="2" s="1"/>
  <c r="G44" i="9"/>
  <c r="H44" i="9" s="1"/>
  <c r="J43" i="9"/>
  <c r="AM41" i="2" s="1"/>
  <c r="G43" i="9"/>
  <c r="H43" i="9" s="1"/>
  <c r="J42" i="9"/>
  <c r="AM40" i="2" s="1"/>
  <c r="G42" i="9"/>
  <c r="H42" i="9" s="1"/>
  <c r="J41" i="9"/>
  <c r="AM39" i="2" s="1"/>
  <c r="G41" i="9"/>
  <c r="H41" i="9" s="1"/>
  <c r="J40" i="9"/>
  <c r="AM38" i="2" s="1"/>
  <c r="G40" i="9"/>
  <c r="H40" i="9" s="1"/>
  <c r="J39" i="9"/>
  <c r="AM37" i="2" s="1"/>
  <c r="G39" i="9"/>
  <c r="H39" i="9" s="1"/>
  <c r="AL37" i="2" s="1"/>
  <c r="J38" i="9"/>
  <c r="AM36" i="2" s="1"/>
  <c r="G38" i="9"/>
  <c r="H38" i="9" s="1"/>
  <c r="AL36" i="2" s="1"/>
  <c r="J37" i="9"/>
  <c r="AM35" i="2" s="1"/>
  <c r="G37" i="9"/>
  <c r="H37" i="9" s="1"/>
  <c r="AL35" i="2" s="1"/>
  <c r="J36" i="9"/>
  <c r="AM34" i="2" s="1"/>
  <c r="G36" i="9"/>
  <c r="H36" i="9" s="1"/>
  <c r="J35" i="9"/>
  <c r="AM33" i="2" s="1"/>
  <c r="G35" i="9"/>
  <c r="H35" i="9" s="1"/>
  <c r="J34" i="9"/>
  <c r="AM32" i="2" s="1"/>
  <c r="G34" i="9"/>
  <c r="H34" i="9" s="1"/>
  <c r="J33" i="9"/>
  <c r="AM31" i="2" s="1"/>
  <c r="G33" i="9"/>
  <c r="H33" i="9" s="1"/>
  <c r="J32" i="9"/>
  <c r="AM30" i="2" s="1"/>
  <c r="G32" i="9"/>
  <c r="H32" i="9" s="1"/>
  <c r="J31" i="9"/>
  <c r="AM29" i="2" s="1"/>
  <c r="G31" i="9"/>
  <c r="H31" i="9" s="1"/>
  <c r="AL29" i="2" s="1"/>
  <c r="J30" i="9"/>
  <c r="AM28" i="2" s="1"/>
  <c r="G30" i="9"/>
  <c r="H30" i="9" s="1"/>
  <c r="AL28" i="2" s="1"/>
  <c r="J29" i="9"/>
  <c r="AM27" i="2" s="1"/>
  <c r="G29" i="9"/>
  <c r="H29" i="9" s="1"/>
  <c r="AL27" i="2" s="1"/>
  <c r="J28" i="9"/>
  <c r="AM26" i="2" s="1"/>
  <c r="G28" i="9"/>
  <c r="H28" i="9" s="1"/>
  <c r="J27" i="9"/>
  <c r="AM25" i="2" s="1"/>
  <c r="G27" i="9"/>
  <c r="H27" i="9" s="1"/>
  <c r="J26" i="9"/>
  <c r="AM24" i="2" s="1"/>
  <c r="G26" i="9"/>
  <c r="H26" i="9" s="1"/>
  <c r="J25" i="9"/>
  <c r="AM23" i="2" s="1"/>
  <c r="G25" i="9"/>
  <c r="H25" i="9" s="1"/>
  <c r="J24" i="9"/>
  <c r="AM22" i="2" s="1"/>
  <c r="G24" i="9"/>
  <c r="H24" i="9" s="1"/>
  <c r="J23" i="9"/>
  <c r="AM21" i="2" s="1"/>
  <c r="G23" i="9"/>
  <c r="H23" i="9" s="1"/>
  <c r="AL21" i="2" s="1"/>
  <c r="J22" i="9"/>
  <c r="AM20" i="2" s="1"/>
  <c r="G22" i="9"/>
  <c r="H22" i="9" s="1"/>
  <c r="AL20" i="2" s="1"/>
  <c r="J21" i="9"/>
  <c r="AM19" i="2" s="1"/>
  <c r="G21" i="9"/>
  <c r="H21" i="9" s="1"/>
  <c r="AL19" i="2" s="1"/>
  <c r="J20" i="9"/>
  <c r="AM18" i="2" s="1"/>
  <c r="G20" i="9"/>
  <c r="H20" i="9" s="1"/>
  <c r="J19" i="9"/>
  <c r="AM17" i="2" s="1"/>
  <c r="G19" i="9"/>
  <c r="H19" i="9" s="1"/>
  <c r="J18" i="9"/>
  <c r="AM16" i="2" s="1"/>
  <c r="G18" i="9"/>
  <c r="H18" i="9" s="1"/>
  <c r="J17" i="9"/>
  <c r="AM15" i="2" s="1"/>
  <c r="G17" i="9"/>
  <c r="H17" i="9" s="1"/>
  <c r="J16" i="9"/>
  <c r="AM14" i="2" s="1"/>
  <c r="G16" i="9"/>
  <c r="H16" i="9" s="1"/>
  <c r="J15" i="9"/>
  <c r="AM13" i="2" s="1"/>
  <c r="G15" i="9"/>
  <c r="H15" i="9" s="1"/>
  <c r="AL13" i="2" s="1"/>
  <c r="J14" i="9"/>
  <c r="AM12" i="2" s="1"/>
  <c r="G14" i="9"/>
  <c r="H14" i="9" s="1"/>
  <c r="AL12" i="2" s="1"/>
  <c r="J13" i="9"/>
  <c r="AM11" i="2" s="1"/>
  <c r="G13" i="9"/>
  <c r="H13" i="9" s="1"/>
  <c r="AL11" i="2" s="1"/>
  <c r="J12" i="9"/>
  <c r="AM10" i="2" s="1"/>
  <c r="G12" i="9"/>
  <c r="H12" i="9" s="1"/>
  <c r="AL10" i="2" s="1"/>
  <c r="J11" i="9"/>
  <c r="AM9" i="2" s="1"/>
  <c r="G11" i="9"/>
  <c r="H11" i="9" s="1"/>
  <c r="AL9" i="2" s="1"/>
  <c r="J10" i="9"/>
  <c r="AM8" i="2" s="1"/>
  <c r="G10" i="9"/>
  <c r="H10" i="9" s="1"/>
  <c r="AL8" i="2" s="1"/>
  <c r="J9" i="9"/>
  <c r="AM7" i="2" s="1"/>
  <c r="G9" i="9"/>
  <c r="H9" i="9" s="1"/>
  <c r="AL7" i="2" s="1"/>
  <c r="J8" i="9"/>
  <c r="AM6" i="2" s="1"/>
  <c r="G8" i="9"/>
  <c r="H8" i="9" s="1"/>
  <c r="AL6" i="2" s="1"/>
  <c r="J7" i="9"/>
  <c r="AM5" i="2" s="1"/>
  <c r="G7" i="9"/>
  <c r="H7" i="9" s="1"/>
  <c r="AL5" i="2" s="1"/>
  <c r="J6" i="9"/>
  <c r="AM4" i="2" s="1"/>
  <c r="G6" i="9"/>
  <c r="H6" i="9" s="1"/>
  <c r="AL4" i="2" s="1"/>
  <c r="J5" i="9"/>
  <c r="AM3" i="2" s="1"/>
  <c r="G5" i="9"/>
  <c r="H5" i="9" s="1"/>
  <c r="A5" i="9" a="1"/>
  <c r="A5" i="9" s="1"/>
  <c r="J103" i="8"/>
  <c r="AT101" i="2" s="1"/>
  <c r="G103" i="8"/>
  <c r="H103" i="8" s="1"/>
  <c r="J102" i="8"/>
  <c r="AT100" i="2" s="1"/>
  <c r="G102" i="8"/>
  <c r="H102" i="8" s="1"/>
  <c r="AS100" i="2" s="1"/>
  <c r="J101" i="8"/>
  <c r="AT99" i="2" s="1"/>
  <c r="G101" i="8"/>
  <c r="H101" i="8" s="1"/>
  <c r="J100" i="8"/>
  <c r="AT98" i="2" s="1"/>
  <c r="G100" i="8"/>
  <c r="H100" i="8" s="1"/>
  <c r="AS98" i="2" s="1"/>
  <c r="J99" i="8"/>
  <c r="AT97" i="2" s="1"/>
  <c r="G99" i="8"/>
  <c r="H99" i="8" s="1"/>
  <c r="J98" i="8"/>
  <c r="AT96" i="2" s="1"/>
  <c r="G98" i="8"/>
  <c r="H98" i="8" s="1"/>
  <c r="AS96" i="2" s="1"/>
  <c r="J97" i="8"/>
  <c r="AT95" i="2" s="1"/>
  <c r="G97" i="8"/>
  <c r="H97" i="8" s="1"/>
  <c r="J96" i="8"/>
  <c r="AT94" i="2" s="1"/>
  <c r="G96" i="8"/>
  <c r="H96" i="8" s="1"/>
  <c r="AS94" i="2" s="1"/>
  <c r="J95" i="8"/>
  <c r="AT93" i="2" s="1"/>
  <c r="G95" i="8"/>
  <c r="H95" i="8" s="1"/>
  <c r="J94" i="8"/>
  <c r="AT92" i="2" s="1"/>
  <c r="G94" i="8"/>
  <c r="H94" i="8" s="1"/>
  <c r="AS92" i="2" s="1"/>
  <c r="J93" i="8"/>
  <c r="AT91" i="2" s="1"/>
  <c r="G93" i="8"/>
  <c r="H93" i="8" s="1"/>
  <c r="J92" i="8"/>
  <c r="AT90" i="2" s="1"/>
  <c r="G92" i="8"/>
  <c r="H92" i="8" s="1"/>
  <c r="AS90" i="2" s="1"/>
  <c r="J91" i="8"/>
  <c r="AT89" i="2" s="1"/>
  <c r="G91" i="8"/>
  <c r="H91" i="8" s="1"/>
  <c r="J90" i="8"/>
  <c r="AT88" i="2" s="1"/>
  <c r="G90" i="8"/>
  <c r="H90" i="8" s="1"/>
  <c r="AS88" i="2" s="1"/>
  <c r="J89" i="8"/>
  <c r="AT87" i="2" s="1"/>
  <c r="G89" i="8"/>
  <c r="H89" i="8" s="1"/>
  <c r="J88" i="8"/>
  <c r="AT86" i="2" s="1"/>
  <c r="G88" i="8"/>
  <c r="H88" i="8" s="1"/>
  <c r="AS86" i="2" s="1"/>
  <c r="J87" i="8"/>
  <c r="AT85" i="2" s="1"/>
  <c r="G87" i="8"/>
  <c r="H87" i="8" s="1"/>
  <c r="J86" i="8"/>
  <c r="AT84" i="2" s="1"/>
  <c r="G86" i="8"/>
  <c r="H86" i="8" s="1"/>
  <c r="AS84" i="2" s="1"/>
  <c r="J85" i="8"/>
  <c r="AT83" i="2" s="1"/>
  <c r="G85" i="8"/>
  <c r="H85" i="8" s="1"/>
  <c r="J84" i="8"/>
  <c r="AT82" i="2" s="1"/>
  <c r="G84" i="8"/>
  <c r="H84" i="8" s="1"/>
  <c r="AS82" i="2" s="1"/>
  <c r="J83" i="8"/>
  <c r="AT81" i="2" s="1"/>
  <c r="G83" i="8"/>
  <c r="H83" i="8" s="1"/>
  <c r="J82" i="8"/>
  <c r="AT80" i="2" s="1"/>
  <c r="G82" i="8"/>
  <c r="H82" i="8" s="1"/>
  <c r="AS80" i="2" s="1"/>
  <c r="J81" i="8"/>
  <c r="AT79" i="2" s="1"/>
  <c r="G81" i="8"/>
  <c r="H81" i="8" s="1"/>
  <c r="J80" i="8"/>
  <c r="AT78" i="2" s="1"/>
  <c r="G80" i="8"/>
  <c r="H80" i="8" s="1"/>
  <c r="AS78" i="2" s="1"/>
  <c r="J79" i="8"/>
  <c r="AT77" i="2" s="1"/>
  <c r="G79" i="8"/>
  <c r="H79" i="8" s="1"/>
  <c r="J78" i="8"/>
  <c r="AT76" i="2" s="1"/>
  <c r="G78" i="8"/>
  <c r="H78" i="8" s="1"/>
  <c r="AS76" i="2" s="1"/>
  <c r="J77" i="8"/>
  <c r="AT75" i="2" s="1"/>
  <c r="G77" i="8"/>
  <c r="H77" i="8" s="1"/>
  <c r="J76" i="8"/>
  <c r="AT74" i="2" s="1"/>
  <c r="G76" i="8"/>
  <c r="H76" i="8" s="1"/>
  <c r="AS74" i="2" s="1"/>
  <c r="J75" i="8"/>
  <c r="AT73" i="2" s="1"/>
  <c r="G75" i="8"/>
  <c r="H75" i="8" s="1"/>
  <c r="J74" i="8"/>
  <c r="AT72" i="2" s="1"/>
  <c r="G74" i="8"/>
  <c r="H74" i="8" s="1"/>
  <c r="AS72" i="2" s="1"/>
  <c r="J73" i="8"/>
  <c r="AT71" i="2" s="1"/>
  <c r="G73" i="8"/>
  <c r="H73" i="8" s="1"/>
  <c r="J72" i="8"/>
  <c r="AT70" i="2" s="1"/>
  <c r="G72" i="8"/>
  <c r="H72" i="8" s="1"/>
  <c r="AS70" i="2" s="1"/>
  <c r="J71" i="8"/>
  <c r="AT69" i="2" s="1"/>
  <c r="G71" i="8"/>
  <c r="H71" i="8" s="1"/>
  <c r="J70" i="8"/>
  <c r="AT68" i="2" s="1"/>
  <c r="G70" i="8"/>
  <c r="H70" i="8" s="1"/>
  <c r="AS68" i="2" s="1"/>
  <c r="J69" i="8"/>
  <c r="AT67" i="2" s="1"/>
  <c r="G69" i="8"/>
  <c r="H69" i="8" s="1"/>
  <c r="J68" i="8"/>
  <c r="AT66" i="2" s="1"/>
  <c r="G68" i="8"/>
  <c r="H68" i="8" s="1"/>
  <c r="AS66" i="2" s="1"/>
  <c r="J67" i="8"/>
  <c r="AT65" i="2" s="1"/>
  <c r="G67" i="8"/>
  <c r="H67" i="8" s="1"/>
  <c r="J66" i="8"/>
  <c r="AT64" i="2" s="1"/>
  <c r="G66" i="8"/>
  <c r="H66" i="8" s="1"/>
  <c r="AS64" i="2" s="1"/>
  <c r="J65" i="8"/>
  <c r="AT63" i="2" s="1"/>
  <c r="G65" i="8"/>
  <c r="H65" i="8" s="1"/>
  <c r="J64" i="8"/>
  <c r="AT62" i="2" s="1"/>
  <c r="G64" i="8"/>
  <c r="H64" i="8" s="1"/>
  <c r="AS62" i="2" s="1"/>
  <c r="J63" i="8"/>
  <c r="AT61" i="2" s="1"/>
  <c r="G63" i="8"/>
  <c r="H63" i="8" s="1"/>
  <c r="J62" i="8"/>
  <c r="AT60" i="2" s="1"/>
  <c r="G62" i="8"/>
  <c r="H62" i="8" s="1"/>
  <c r="AS60" i="2" s="1"/>
  <c r="J61" i="8"/>
  <c r="AT59" i="2" s="1"/>
  <c r="G61" i="8"/>
  <c r="H61" i="8" s="1"/>
  <c r="J60" i="8"/>
  <c r="AT58" i="2" s="1"/>
  <c r="G60" i="8"/>
  <c r="H60" i="8" s="1"/>
  <c r="AS58" i="2" s="1"/>
  <c r="J59" i="8"/>
  <c r="AT57" i="2" s="1"/>
  <c r="G59" i="8"/>
  <c r="H59" i="8" s="1"/>
  <c r="J58" i="8"/>
  <c r="AT56" i="2" s="1"/>
  <c r="G58" i="8"/>
  <c r="H58" i="8" s="1"/>
  <c r="AS56" i="2" s="1"/>
  <c r="J57" i="8"/>
  <c r="AT55" i="2" s="1"/>
  <c r="G57" i="8"/>
  <c r="H57" i="8" s="1"/>
  <c r="J56" i="8"/>
  <c r="AT54" i="2" s="1"/>
  <c r="G56" i="8"/>
  <c r="H56" i="8" s="1"/>
  <c r="AS54" i="2" s="1"/>
  <c r="J55" i="8"/>
  <c r="AT53" i="2" s="1"/>
  <c r="G55" i="8"/>
  <c r="H55" i="8" s="1"/>
  <c r="J54" i="8"/>
  <c r="AT52" i="2" s="1"/>
  <c r="G54" i="8"/>
  <c r="H54" i="8" s="1"/>
  <c r="AS52" i="2" s="1"/>
  <c r="J53" i="8"/>
  <c r="AT51" i="2" s="1"/>
  <c r="G53" i="8"/>
  <c r="H53" i="8" s="1"/>
  <c r="J52" i="8"/>
  <c r="AT50" i="2" s="1"/>
  <c r="G52" i="8"/>
  <c r="H52" i="8" s="1"/>
  <c r="AS50" i="2" s="1"/>
  <c r="J51" i="8"/>
  <c r="AT49" i="2" s="1"/>
  <c r="G51" i="8"/>
  <c r="H51" i="8" s="1"/>
  <c r="J50" i="8"/>
  <c r="AT48" i="2" s="1"/>
  <c r="G50" i="8"/>
  <c r="H50" i="8" s="1"/>
  <c r="AS48" i="2" s="1"/>
  <c r="J49" i="8"/>
  <c r="AT47" i="2" s="1"/>
  <c r="G49" i="8"/>
  <c r="H49" i="8" s="1"/>
  <c r="J48" i="8"/>
  <c r="AT46" i="2" s="1"/>
  <c r="G48" i="8"/>
  <c r="H48" i="8" s="1"/>
  <c r="J47" i="8"/>
  <c r="AT45" i="2" s="1"/>
  <c r="G47" i="8"/>
  <c r="H47" i="8" s="1"/>
  <c r="J46" i="8"/>
  <c r="AT44" i="2" s="1"/>
  <c r="G46" i="8"/>
  <c r="H46" i="8" s="1"/>
  <c r="AS44" i="2" s="1"/>
  <c r="J45" i="8"/>
  <c r="AT43" i="2" s="1"/>
  <c r="G45" i="8"/>
  <c r="H45" i="8" s="1"/>
  <c r="J44" i="8"/>
  <c r="AT42" i="2" s="1"/>
  <c r="G44" i="8"/>
  <c r="H44" i="8" s="1"/>
  <c r="J43" i="8"/>
  <c r="AT41" i="2" s="1"/>
  <c r="G43" i="8"/>
  <c r="H43" i="8" s="1"/>
  <c r="J42" i="8"/>
  <c r="AT40" i="2" s="1"/>
  <c r="G42" i="8"/>
  <c r="H42" i="8" s="1"/>
  <c r="AS40" i="2" s="1"/>
  <c r="J41" i="8"/>
  <c r="AT39" i="2" s="1"/>
  <c r="G41" i="8"/>
  <c r="H41" i="8" s="1"/>
  <c r="J40" i="8"/>
  <c r="AT38" i="2" s="1"/>
  <c r="G40" i="8"/>
  <c r="H40" i="8" s="1"/>
  <c r="J39" i="8"/>
  <c r="AT37" i="2" s="1"/>
  <c r="G39" i="8"/>
  <c r="H39" i="8" s="1"/>
  <c r="J38" i="8"/>
  <c r="AT36" i="2" s="1"/>
  <c r="G38" i="8"/>
  <c r="H38" i="8" s="1"/>
  <c r="AS36" i="2" s="1"/>
  <c r="J37" i="8"/>
  <c r="AT35" i="2" s="1"/>
  <c r="G37" i="8"/>
  <c r="H37" i="8" s="1"/>
  <c r="J36" i="8"/>
  <c r="AT34" i="2" s="1"/>
  <c r="G36" i="8"/>
  <c r="H36" i="8" s="1"/>
  <c r="J35" i="8"/>
  <c r="AT33" i="2" s="1"/>
  <c r="G35" i="8"/>
  <c r="H35" i="8" s="1"/>
  <c r="J34" i="8"/>
  <c r="AT32" i="2" s="1"/>
  <c r="G34" i="8"/>
  <c r="H34" i="8" s="1"/>
  <c r="J33" i="8"/>
  <c r="AT31" i="2" s="1"/>
  <c r="G33" i="8"/>
  <c r="H33" i="8" s="1"/>
  <c r="J32" i="8"/>
  <c r="AT30" i="2" s="1"/>
  <c r="G32" i="8"/>
  <c r="H32" i="8" s="1"/>
  <c r="J31" i="8"/>
  <c r="AT29" i="2" s="1"/>
  <c r="G31" i="8"/>
  <c r="H31" i="8" s="1"/>
  <c r="J30" i="8"/>
  <c r="AT28" i="2" s="1"/>
  <c r="G30" i="8"/>
  <c r="H30" i="8" s="1"/>
  <c r="J29" i="8"/>
  <c r="AT27" i="2" s="1"/>
  <c r="G29" i="8"/>
  <c r="H29" i="8" s="1"/>
  <c r="J28" i="8"/>
  <c r="AT26" i="2" s="1"/>
  <c r="G28" i="8"/>
  <c r="H28" i="8" s="1"/>
  <c r="J27" i="8"/>
  <c r="AT25" i="2" s="1"/>
  <c r="G27" i="8"/>
  <c r="H27" i="8" s="1"/>
  <c r="J26" i="8"/>
  <c r="AT24" i="2" s="1"/>
  <c r="G26" i="8"/>
  <c r="H26" i="8" s="1"/>
  <c r="J25" i="8"/>
  <c r="AT23" i="2" s="1"/>
  <c r="G25" i="8"/>
  <c r="H25" i="8" s="1"/>
  <c r="J24" i="8"/>
  <c r="AT22" i="2" s="1"/>
  <c r="G24" i="8"/>
  <c r="H24" i="8" s="1"/>
  <c r="J23" i="8"/>
  <c r="AT21" i="2" s="1"/>
  <c r="G23" i="8"/>
  <c r="H23" i="8" s="1"/>
  <c r="J22" i="8"/>
  <c r="AT20" i="2" s="1"/>
  <c r="G22" i="8"/>
  <c r="H22" i="8" s="1"/>
  <c r="J21" i="8"/>
  <c r="AT19" i="2" s="1"/>
  <c r="G21" i="8"/>
  <c r="H21" i="8" s="1"/>
  <c r="J20" i="8"/>
  <c r="AT18" i="2" s="1"/>
  <c r="G20" i="8"/>
  <c r="H20" i="8" s="1"/>
  <c r="J19" i="8"/>
  <c r="AT17" i="2" s="1"/>
  <c r="G19" i="8"/>
  <c r="H19" i="8" s="1"/>
  <c r="J18" i="8"/>
  <c r="AT16" i="2" s="1"/>
  <c r="G18" i="8"/>
  <c r="H18" i="8" s="1"/>
  <c r="AS16" i="2" s="1"/>
  <c r="J17" i="8"/>
  <c r="AT15" i="2" s="1"/>
  <c r="G17" i="8"/>
  <c r="H17" i="8" s="1"/>
  <c r="J16" i="8"/>
  <c r="AT14" i="2" s="1"/>
  <c r="G16" i="8"/>
  <c r="H16" i="8" s="1"/>
  <c r="J15" i="8"/>
  <c r="AT13" i="2" s="1"/>
  <c r="G15" i="8"/>
  <c r="H15" i="8" s="1"/>
  <c r="J14" i="8"/>
  <c r="AT12" i="2" s="1"/>
  <c r="G14" i="8"/>
  <c r="H14" i="8" s="1"/>
  <c r="AS12" i="2" s="1"/>
  <c r="J13" i="8"/>
  <c r="AT11" i="2" s="1"/>
  <c r="G13" i="8"/>
  <c r="H13" i="8" s="1"/>
  <c r="AS11" i="2" s="1"/>
  <c r="J12" i="8"/>
  <c r="AT10" i="2" s="1"/>
  <c r="G12" i="8"/>
  <c r="H12" i="8" s="1"/>
  <c r="AS10" i="2" s="1"/>
  <c r="J11" i="8"/>
  <c r="AT9" i="2" s="1"/>
  <c r="G11" i="8"/>
  <c r="H11" i="8" s="1"/>
  <c r="AS9" i="2" s="1"/>
  <c r="J10" i="8"/>
  <c r="AT8" i="2" s="1"/>
  <c r="G10" i="8"/>
  <c r="H10" i="8" s="1"/>
  <c r="AS8" i="2" s="1"/>
  <c r="J9" i="8"/>
  <c r="AT7" i="2" s="1"/>
  <c r="G9" i="8"/>
  <c r="H9" i="8" s="1"/>
  <c r="AS7" i="2" s="1"/>
  <c r="J8" i="8"/>
  <c r="AT6" i="2" s="1"/>
  <c r="G8" i="8"/>
  <c r="H8" i="8" s="1"/>
  <c r="AS6" i="2" s="1"/>
  <c r="J7" i="8"/>
  <c r="AT5" i="2" s="1"/>
  <c r="G7" i="8"/>
  <c r="H7" i="8" s="1"/>
  <c r="AS5" i="2" s="1"/>
  <c r="J6" i="8"/>
  <c r="AT4" i="2" s="1"/>
  <c r="G6" i="8"/>
  <c r="H6" i="8" s="1"/>
  <c r="AS4" i="2" s="1"/>
  <c r="J5" i="8"/>
  <c r="AT3" i="2" s="1"/>
  <c r="G5" i="8"/>
  <c r="H5" i="8" s="1"/>
  <c r="A5" i="8" a="1"/>
  <c r="A5" i="8" s="1"/>
  <c r="J103" i="7"/>
  <c r="Y101" i="2" s="1"/>
  <c r="G103" i="7"/>
  <c r="H103" i="7" s="1"/>
  <c r="J102" i="7"/>
  <c r="Y100" i="2" s="1"/>
  <c r="G102" i="7"/>
  <c r="H102" i="7" s="1"/>
  <c r="J101" i="7"/>
  <c r="Y99" i="2" s="1"/>
  <c r="G101" i="7"/>
  <c r="H101" i="7" s="1"/>
  <c r="J100" i="7"/>
  <c r="Y98" i="2" s="1"/>
  <c r="G100" i="7"/>
  <c r="H100" i="7" s="1"/>
  <c r="J99" i="7"/>
  <c r="Y97" i="2" s="1"/>
  <c r="G99" i="7"/>
  <c r="H99" i="7" s="1"/>
  <c r="J98" i="7"/>
  <c r="Y96" i="2" s="1"/>
  <c r="G98" i="7"/>
  <c r="H98" i="7" s="1"/>
  <c r="J97" i="7"/>
  <c r="Y95" i="2" s="1"/>
  <c r="G97" i="7"/>
  <c r="H97" i="7" s="1"/>
  <c r="J96" i="7"/>
  <c r="Y94" i="2" s="1"/>
  <c r="G96" i="7"/>
  <c r="H96" i="7" s="1"/>
  <c r="J95" i="7"/>
  <c r="Y93" i="2" s="1"/>
  <c r="G95" i="7"/>
  <c r="H95" i="7" s="1"/>
  <c r="J94" i="7"/>
  <c r="Y92" i="2" s="1"/>
  <c r="G94" i="7"/>
  <c r="H94" i="7" s="1"/>
  <c r="J93" i="7"/>
  <c r="Y91" i="2" s="1"/>
  <c r="G93" i="7"/>
  <c r="H93" i="7" s="1"/>
  <c r="J92" i="7"/>
  <c r="Y90" i="2" s="1"/>
  <c r="G92" i="7"/>
  <c r="H92" i="7" s="1"/>
  <c r="J91" i="7"/>
  <c r="Y89" i="2" s="1"/>
  <c r="G91" i="7"/>
  <c r="H91" i="7" s="1"/>
  <c r="J90" i="7"/>
  <c r="Y88" i="2" s="1"/>
  <c r="G90" i="7"/>
  <c r="H90" i="7" s="1"/>
  <c r="J89" i="7"/>
  <c r="Y87" i="2" s="1"/>
  <c r="G89" i="7"/>
  <c r="H89" i="7" s="1"/>
  <c r="J88" i="7"/>
  <c r="Y86" i="2" s="1"/>
  <c r="G88" i="7"/>
  <c r="H88" i="7" s="1"/>
  <c r="J87" i="7"/>
  <c r="Y85" i="2" s="1"/>
  <c r="G87" i="7"/>
  <c r="H87" i="7" s="1"/>
  <c r="J86" i="7"/>
  <c r="Y84" i="2" s="1"/>
  <c r="G86" i="7"/>
  <c r="H86" i="7" s="1"/>
  <c r="J85" i="7"/>
  <c r="Y83" i="2" s="1"/>
  <c r="G85" i="7"/>
  <c r="H85" i="7" s="1"/>
  <c r="J84" i="7"/>
  <c r="Y82" i="2" s="1"/>
  <c r="G84" i="7"/>
  <c r="H84" i="7" s="1"/>
  <c r="J83" i="7"/>
  <c r="Y81" i="2" s="1"/>
  <c r="G83" i="7"/>
  <c r="H83" i="7" s="1"/>
  <c r="J82" i="7"/>
  <c r="Y80" i="2" s="1"/>
  <c r="G82" i="7"/>
  <c r="H82" i="7" s="1"/>
  <c r="J81" i="7"/>
  <c r="Y79" i="2" s="1"/>
  <c r="G81" i="7"/>
  <c r="H81" i="7" s="1"/>
  <c r="J80" i="7"/>
  <c r="Y78" i="2" s="1"/>
  <c r="G80" i="7"/>
  <c r="H80" i="7" s="1"/>
  <c r="J79" i="7"/>
  <c r="Y77" i="2" s="1"/>
  <c r="G79" i="7"/>
  <c r="H79" i="7" s="1"/>
  <c r="J78" i="7"/>
  <c r="Y76" i="2" s="1"/>
  <c r="G78" i="7"/>
  <c r="H78" i="7" s="1"/>
  <c r="J77" i="7"/>
  <c r="Y75" i="2" s="1"/>
  <c r="G77" i="7"/>
  <c r="H77" i="7" s="1"/>
  <c r="J76" i="7"/>
  <c r="Y74" i="2" s="1"/>
  <c r="G76" i="7"/>
  <c r="H76" i="7" s="1"/>
  <c r="J75" i="7"/>
  <c r="Y73" i="2" s="1"/>
  <c r="G75" i="7"/>
  <c r="H75" i="7" s="1"/>
  <c r="J74" i="7"/>
  <c r="Y72" i="2" s="1"/>
  <c r="G74" i="7"/>
  <c r="H74" i="7" s="1"/>
  <c r="X72" i="2" s="1"/>
  <c r="J73" i="7"/>
  <c r="Y71" i="2" s="1"/>
  <c r="G73" i="7"/>
  <c r="H73" i="7" s="1"/>
  <c r="X71" i="2" s="1"/>
  <c r="J72" i="7"/>
  <c r="Y70" i="2" s="1"/>
  <c r="G72" i="7"/>
  <c r="H72" i="7" s="1"/>
  <c r="X70" i="2" s="1"/>
  <c r="J71" i="7"/>
  <c r="Y69" i="2" s="1"/>
  <c r="G71" i="7"/>
  <c r="H71" i="7" s="1"/>
  <c r="X69" i="2" s="1"/>
  <c r="J70" i="7"/>
  <c r="Y68" i="2" s="1"/>
  <c r="G70" i="7"/>
  <c r="H70" i="7" s="1"/>
  <c r="J69" i="7"/>
  <c r="Y67" i="2" s="1"/>
  <c r="G69" i="7"/>
  <c r="H69" i="7" s="1"/>
  <c r="J68" i="7"/>
  <c r="Y66" i="2" s="1"/>
  <c r="G68" i="7"/>
  <c r="H68" i="7" s="1"/>
  <c r="J67" i="7"/>
  <c r="Y65" i="2" s="1"/>
  <c r="G67" i="7"/>
  <c r="H67" i="7" s="1"/>
  <c r="J66" i="7"/>
  <c r="Y64" i="2" s="1"/>
  <c r="G66" i="7"/>
  <c r="H66" i="7" s="1"/>
  <c r="X64" i="2" s="1"/>
  <c r="J65" i="7"/>
  <c r="Y63" i="2" s="1"/>
  <c r="G65" i="7"/>
  <c r="H65" i="7" s="1"/>
  <c r="X63" i="2" s="1"/>
  <c r="J64" i="7"/>
  <c r="Y62" i="2" s="1"/>
  <c r="G64" i="7"/>
  <c r="H64" i="7" s="1"/>
  <c r="X62" i="2" s="1"/>
  <c r="J63" i="7"/>
  <c r="Y61" i="2" s="1"/>
  <c r="G63" i="7"/>
  <c r="H63" i="7" s="1"/>
  <c r="X61" i="2" s="1"/>
  <c r="J62" i="7"/>
  <c r="Y60" i="2" s="1"/>
  <c r="G62" i="7"/>
  <c r="H62" i="7" s="1"/>
  <c r="J61" i="7"/>
  <c r="Y59" i="2" s="1"/>
  <c r="G61" i="7"/>
  <c r="H61" i="7" s="1"/>
  <c r="J60" i="7"/>
  <c r="Y58" i="2" s="1"/>
  <c r="G60" i="7"/>
  <c r="H60" i="7" s="1"/>
  <c r="J59" i="7"/>
  <c r="Y57" i="2" s="1"/>
  <c r="G59" i="7"/>
  <c r="H59" i="7" s="1"/>
  <c r="X57" i="2" s="1"/>
  <c r="J58" i="7"/>
  <c r="Y56" i="2" s="1"/>
  <c r="G58" i="7"/>
  <c r="H58" i="7" s="1"/>
  <c r="J57" i="7"/>
  <c r="Y55" i="2" s="1"/>
  <c r="G57" i="7"/>
  <c r="H57" i="7" s="1"/>
  <c r="X55" i="2" s="1"/>
  <c r="J56" i="7"/>
  <c r="Y54" i="2" s="1"/>
  <c r="G56" i="7"/>
  <c r="H56" i="7" s="1"/>
  <c r="X54" i="2" s="1"/>
  <c r="J55" i="7"/>
  <c r="Y53" i="2" s="1"/>
  <c r="G55" i="7"/>
  <c r="H55" i="7" s="1"/>
  <c r="X53" i="2" s="1"/>
  <c r="J54" i="7"/>
  <c r="Y52" i="2" s="1"/>
  <c r="G54" i="7"/>
  <c r="H54" i="7" s="1"/>
  <c r="J53" i="7"/>
  <c r="Y51" i="2" s="1"/>
  <c r="G53" i="7"/>
  <c r="H53" i="7" s="1"/>
  <c r="J52" i="7"/>
  <c r="Y50" i="2" s="1"/>
  <c r="G52" i="7"/>
  <c r="H52" i="7" s="1"/>
  <c r="J51" i="7"/>
  <c r="Y49" i="2" s="1"/>
  <c r="G51" i="7"/>
  <c r="H51" i="7" s="1"/>
  <c r="X49" i="2" s="1"/>
  <c r="J50" i="7"/>
  <c r="Y48" i="2" s="1"/>
  <c r="G50" i="7"/>
  <c r="H50" i="7" s="1"/>
  <c r="J49" i="7"/>
  <c r="Y47" i="2" s="1"/>
  <c r="G49" i="7"/>
  <c r="H49" i="7" s="1"/>
  <c r="X47" i="2" s="1"/>
  <c r="J48" i="7"/>
  <c r="Y46" i="2" s="1"/>
  <c r="G48" i="7"/>
  <c r="H48" i="7" s="1"/>
  <c r="X46" i="2" s="1"/>
  <c r="J47" i="7"/>
  <c r="Y45" i="2" s="1"/>
  <c r="G47" i="7"/>
  <c r="H47" i="7" s="1"/>
  <c r="J46" i="7"/>
  <c r="Y44" i="2" s="1"/>
  <c r="G46" i="7"/>
  <c r="H46" i="7" s="1"/>
  <c r="X44" i="2" s="1"/>
  <c r="J45" i="7"/>
  <c r="Y43" i="2" s="1"/>
  <c r="G45" i="7"/>
  <c r="H45" i="7" s="1"/>
  <c r="J44" i="7"/>
  <c r="Y42" i="2" s="1"/>
  <c r="G44" i="7"/>
  <c r="H44" i="7" s="1"/>
  <c r="X42" i="2" s="1"/>
  <c r="J43" i="7"/>
  <c r="Y41" i="2" s="1"/>
  <c r="G43" i="7"/>
  <c r="H43" i="7" s="1"/>
  <c r="J42" i="7"/>
  <c r="Y40" i="2" s="1"/>
  <c r="G42" i="7"/>
  <c r="H42" i="7" s="1"/>
  <c r="X40" i="2" s="1"/>
  <c r="J41" i="7"/>
  <c r="Y39" i="2" s="1"/>
  <c r="G41" i="7"/>
  <c r="H41" i="7" s="1"/>
  <c r="J40" i="7"/>
  <c r="Y38" i="2" s="1"/>
  <c r="G40" i="7"/>
  <c r="H40" i="7" s="1"/>
  <c r="X38" i="2" s="1"/>
  <c r="J39" i="7"/>
  <c r="Y37" i="2" s="1"/>
  <c r="G39" i="7"/>
  <c r="H39" i="7" s="1"/>
  <c r="J38" i="7"/>
  <c r="Y36" i="2" s="1"/>
  <c r="G38" i="7"/>
  <c r="H38" i="7" s="1"/>
  <c r="X36" i="2" s="1"/>
  <c r="J37" i="7"/>
  <c r="Y35" i="2" s="1"/>
  <c r="G37" i="7"/>
  <c r="H37" i="7" s="1"/>
  <c r="J36" i="7"/>
  <c r="Y34" i="2" s="1"/>
  <c r="G36" i="7"/>
  <c r="H36" i="7" s="1"/>
  <c r="X34" i="2" s="1"/>
  <c r="J35" i="7"/>
  <c r="Y33" i="2" s="1"/>
  <c r="G35" i="7"/>
  <c r="H35" i="7" s="1"/>
  <c r="J34" i="7"/>
  <c r="Y32" i="2" s="1"/>
  <c r="G34" i="7"/>
  <c r="H34" i="7" s="1"/>
  <c r="X32" i="2" s="1"/>
  <c r="J33" i="7"/>
  <c r="Y31" i="2" s="1"/>
  <c r="G33" i="7"/>
  <c r="H33" i="7" s="1"/>
  <c r="J32" i="7"/>
  <c r="Y30" i="2" s="1"/>
  <c r="G32" i="7"/>
  <c r="H32" i="7" s="1"/>
  <c r="X30" i="2" s="1"/>
  <c r="J31" i="7"/>
  <c r="Y29" i="2" s="1"/>
  <c r="G31" i="7"/>
  <c r="H31" i="7" s="1"/>
  <c r="J30" i="7"/>
  <c r="Y28" i="2" s="1"/>
  <c r="G30" i="7"/>
  <c r="H30" i="7" s="1"/>
  <c r="X28" i="2" s="1"/>
  <c r="J29" i="7"/>
  <c r="Y27" i="2" s="1"/>
  <c r="G29" i="7"/>
  <c r="H29" i="7" s="1"/>
  <c r="J28" i="7"/>
  <c r="Y26" i="2" s="1"/>
  <c r="G28" i="7"/>
  <c r="H28" i="7" s="1"/>
  <c r="X26" i="2" s="1"/>
  <c r="J27" i="7"/>
  <c r="Y25" i="2" s="1"/>
  <c r="G27" i="7"/>
  <c r="H27" i="7" s="1"/>
  <c r="J26" i="7"/>
  <c r="Y24" i="2" s="1"/>
  <c r="G26" i="7"/>
  <c r="H26" i="7" s="1"/>
  <c r="X24" i="2" s="1"/>
  <c r="J25" i="7"/>
  <c r="Y23" i="2" s="1"/>
  <c r="G25" i="7"/>
  <c r="H25" i="7" s="1"/>
  <c r="J24" i="7"/>
  <c r="Y22" i="2" s="1"/>
  <c r="G24" i="7"/>
  <c r="H24" i="7" s="1"/>
  <c r="X22" i="2" s="1"/>
  <c r="J23" i="7"/>
  <c r="Y21" i="2" s="1"/>
  <c r="G23" i="7"/>
  <c r="H23" i="7" s="1"/>
  <c r="J22" i="7"/>
  <c r="Y20" i="2" s="1"/>
  <c r="G22" i="7"/>
  <c r="H22" i="7" s="1"/>
  <c r="X20" i="2" s="1"/>
  <c r="J21" i="7"/>
  <c r="Y19" i="2" s="1"/>
  <c r="G21" i="7"/>
  <c r="H21" i="7" s="1"/>
  <c r="J20" i="7"/>
  <c r="Y18" i="2" s="1"/>
  <c r="G20" i="7"/>
  <c r="H20" i="7" s="1"/>
  <c r="X18" i="2" s="1"/>
  <c r="J19" i="7"/>
  <c r="Y17" i="2" s="1"/>
  <c r="G19" i="7"/>
  <c r="H19" i="7" s="1"/>
  <c r="J18" i="7"/>
  <c r="Y16" i="2" s="1"/>
  <c r="G18" i="7"/>
  <c r="H18" i="7" s="1"/>
  <c r="X16" i="2" s="1"/>
  <c r="J17" i="7"/>
  <c r="Y15" i="2" s="1"/>
  <c r="G17" i="7"/>
  <c r="H17" i="7" s="1"/>
  <c r="J16" i="7"/>
  <c r="Y14" i="2" s="1"/>
  <c r="G16" i="7"/>
  <c r="H16" i="7" s="1"/>
  <c r="X14" i="2" s="1"/>
  <c r="J15" i="7"/>
  <c r="Y13" i="2" s="1"/>
  <c r="G15" i="7"/>
  <c r="H15" i="7" s="1"/>
  <c r="J14" i="7"/>
  <c r="Y12" i="2" s="1"/>
  <c r="G14" i="7"/>
  <c r="H14" i="7" s="1"/>
  <c r="X12" i="2" s="1"/>
  <c r="J13" i="7"/>
  <c r="Y11" i="2" s="1"/>
  <c r="G13" i="7"/>
  <c r="H13" i="7" s="1"/>
  <c r="X11" i="2" s="1"/>
  <c r="J12" i="7"/>
  <c r="Y10" i="2" s="1"/>
  <c r="G12" i="7"/>
  <c r="H12" i="7" s="1"/>
  <c r="X10" i="2" s="1"/>
  <c r="J11" i="7"/>
  <c r="Y9" i="2" s="1"/>
  <c r="G11" i="7"/>
  <c r="H11" i="7" s="1"/>
  <c r="X9" i="2" s="1"/>
  <c r="J10" i="7"/>
  <c r="Y8" i="2" s="1"/>
  <c r="G10" i="7"/>
  <c r="H10" i="7" s="1"/>
  <c r="X8" i="2" s="1"/>
  <c r="J9" i="7"/>
  <c r="Y7" i="2" s="1"/>
  <c r="G9" i="7"/>
  <c r="H9" i="7" s="1"/>
  <c r="X7" i="2" s="1"/>
  <c r="J8" i="7"/>
  <c r="Y6" i="2" s="1"/>
  <c r="G8" i="7"/>
  <c r="H8" i="7" s="1"/>
  <c r="X6" i="2" s="1"/>
  <c r="J7" i="7"/>
  <c r="Y5" i="2" s="1"/>
  <c r="G7" i="7"/>
  <c r="H7" i="7" s="1"/>
  <c r="X5" i="2" s="1"/>
  <c r="J6" i="7"/>
  <c r="Y4" i="2" s="1"/>
  <c r="G6" i="7"/>
  <c r="H6" i="7" s="1"/>
  <c r="X4" i="2" s="1"/>
  <c r="J5" i="7"/>
  <c r="Y3" i="2" s="1"/>
  <c r="G5" i="7"/>
  <c r="H5" i="7" s="1"/>
  <c r="A5" i="7" a="1"/>
  <c r="A5" i="7" s="1"/>
  <c r="J103" i="6"/>
  <c r="R101" i="2" s="1"/>
  <c r="G103" i="6"/>
  <c r="H103" i="6" s="1"/>
  <c r="Q101" i="2" s="1"/>
  <c r="J102" i="6"/>
  <c r="R100" i="2" s="1"/>
  <c r="G102" i="6"/>
  <c r="H102" i="6" s="1"/>
  <c r="Q100" i="2" s="1"/>
  <c r="J101" i="6"/>
  <c r="R99" i="2" s="1"/>
  <c r="G101" i="6"/>
  <c r="H101" i="6" s="1"/>
  <c r="Q99" i="2" s="1"/>
  <c r="J100" i="6"/>
  <c r="R98" i="2" s="1"/>
  <c r="G100" i="6"/>
  <c r="H100" i="6" s="1"/>
  <c r="Q98" i="2" s="1"/>
  <c r="J99" i="6"/>
  <c r="R97" i="2" s="1"/>
  <c r="G99" i="6"/>
  <c r="H99" i="6" s="1"/>
  <c r="Q97" i="2" s="1"/>
  <c r="J98" i="6"/>
  <c r="R96" i="2" s="1"/>
  <c r="G98" i="6"/>
  <c r="H98" i="6" s="1"/>
  <c r="Q96" i="2" s="1"/>
  <c r="J97" i="6"/>
  <c r="R95" i="2" s="1"/>
  <c r="G97" i="6"/>
  <c r="H97" i="6" s="1"/>
  <c r="Q95" i="2" s="1"/>
  <c r="J96" i="6"/>
  <c r="R94" i="2" s="1"/>
  <c r="G96" i="6"/>
  <c r="H96" i="6" s="1"/>
  <c r="Q94" i="2" s="1"/>
  <c r="J95" i="6"/>
  <c r="R93" i="2" s="1"/>
  <c r="G95" i="6"/>
  <c r="H95" i="6" s="1"/>
  <c r="Q93" i="2" s="1"/>
  <c r="J94" i="6"/>
  <c r="R92" i="2" s="1"/>
  <c r="G94" i="6"/>
  <c r="H94" i="6" s="1"/>
  <c r="Q92" i="2" s="1"/>
  <c r="J93" i="6"/>
  <c r="R91" i="2" s="1"/>
  <c r="G93" i="6"/>
  <c r="H93" i="6" s="1"/>
  <c r="Q91" i="2" s="1"/>
  <c r="J92" i="6"/>
  <c r="R90" i="2" s="1"/>
  <c r="G92" i="6"/>
  <c r="H92" i="6" s="1"/>
  <c r="Q90" i="2" s="1"/>
  <c r="J91" i="6"/>
  <c r="R89" i="2" s="1"/>
  <c r="G91" i="6"/>
  <c r="H91" i="6" s="1"/>
  <c r="Q89" i="2" s="1"/>
  <c r="J90" i="6"/>
  <c r="R88" i="2" s="1"/>
  <c r="G90" i="6"/>
  <c r="H90" i="6" s="1"/>
  <c r="Q88" i="2" s="1"/>
  <c r="J89" i="6"/>
  <c r="R87" i="2" s="1"/>
  <c r="G89" i="6"/>
  <c r="H89" i="6" s="1"/>
  <c r="Q87" i="2" s="1"/>
  <c r="J88" i="6"/>
  <c r="R86" i="2" s="1"/>
  <c r="G88" i="6"/>
  <c r="H88" i="6" s="1"/>
  <c r="Q86" i="2" s="1"/>
  <c r="J87" i="6"/>
  <c r="R85" i="2" s="1"/>
  <c r="G87" i="6"/>
  <c r="H87" i="6" s="1"/>
  <c r="Q85" i="2" s="1"/>
  <c r="J86" i="6"/>
  <c r="R84" i="2" s="1"/>
  <c r="G86" i="6"/>
  <c r="H86" i="6" s="1"/>
  <c r="Q84" i="2" s="1"/>
  <c r="J85" i="6"/>
  <c r="R83" i="2" s="1"/>
  <c r="G85" i="6"/>
  <c r="H85" i="6" s="1"/>
  <c r="Q83" i="2" s="1"/>
  <c r="J84" i="6"/>
  <c r="R82" i="2" s="1"/>
  <c r="G84" i="6"/>
  <c r="H84" i="6" s="1"/>
  <c r="Q82" i="2" s="1"/>
  <c r="J83" i="6"/>
  <c r="R81" i="2" s="1"/>
  <c r="G83" i="6"/>
  <c r="H83" i="6" s="1"/>
  <c r="Q81" i="2" s="1"/>
  <c r="J82" i="6"/>
  <c r="R80" i="2" s="1"/>
  <c r="G82" i="6"/>
  <c r="H82" i="6" s="1"/>
  <c r="Q80" i="2" s="1"/>
  <c r="J81" i="6"/>
  <c r="R79" i="2" s="1"/>
  <c r="G81" i="6"/>
  <c r="H81" i="6" s="1"/>
  <c r="Q79" i="2" s="1"/>
  <c r="J80" i="6"/>
  <c r="R78" i="2" s="1"/>
  <c r="G80" i="6"/>
  <c r="H80" i="6" s="1"/>
  <c r="Q78" i="2" s="1"/>
  <c r="J79" i="6"/>
  <c r="R77" i="2" s="1"/>
  <c r="G79" i="6"/>
  <c r="H79" i="6" s="1"/>
  <c r="Q77" i="2" s="1"/>
  <c r="J78" i="6"/>
  <c r="R76" i="2" s="1"/>
  <c r="G78" i="6"/>
  <c r="H78" i="6" s="1"/>
  <c r="Q76" i="2" s="1"/>
  <c r="J77" i="6"/>
  <c r="R75" i="2" s="1"/>
  <c r="G77" i="6"/>
  <c r="H77" i="6" s="1"/>
  <c r="Q75" i="2" s="1"/>
  <c r="J76" i="6"/>
  <c r="R74" i="2" s="1"/>
  <c r="G76" i="6"/>
  <c r="H76" i="6" s="1"/>
  <c r="Q74" i="2" s="1"/>
  <c r="J75" i="6"/>
  <c r="R73" i="2" s="1"/>
  <c r="G75" i="6"/>
  <c r="H75" i="6" s="1"/>
  <c r="Q73" i="2" s="1"/>
  <c r="J74" i="6"/>
  <c r="R72" i="2" s="1"/>
  <c r="G74" i="6"/>
  <c r="H74" i="6" s="1"/>
  <c r="Q72" i="2" s="1"/>
  <c r="J73" i="6"/>
  <c r="R71" i="2" s="1"/>
  <c r="G73" i="6"/>
  <c r="H73" i="6" s="1"/>
  <c r="Q71" i="2" s="1"/>
  <c r="J72" i="6"/>
  <c r="R70" i="2" s="1"/>
  <c r="G72" i="6"/>
  <c r="H72" i="6" s="1"/>
  <c r="Q70" i="2" s="1"/>
  <c r="J71" i="6"/>
  <c r="R69" i="2" s="1"/>
  <c r="G71" i="6"/>
  <c r="H71" i="6" s="1"/>
  <c r="Q69" i="2" s="1"/>
  <c r="J70" i="6"/>
  <c r="R68" i="2" s="1"/>
  <c r="G70" i="6"/>
  <c r="H70" i="6" s="1"/>
  <c r="Q68" i="2" s="1"/>
  <c r="J69" i="6"/>
  <c r="R67" i="2" s="1"/>
  <c r="G69" i="6"/>
  <c r="H69" i="6" s="1"/>
  <c r="Q67" i="2" s="1"/>
  <c r="J68" i="6"/>
  <c r="R66" i="2" s="1"/>
  <c r="G68" i="6"/>
  <c r="H68" i="6" s="1"/>
  <c r="Q66" i="2" s="1"/>
  <c r="J67" i="6"/>
  <c r="R65" i="2" s="1"/>
  <c r="G67" i="6"/>
  <c r="H67" i="6" s="1"/>
  <c r="Q65" i="2" s="1"/>
  <c r="J66" i="6"/>
  <c r="R64" i="2" s="1"/>
  <c r="G66" i="6"/>
  <c r="H66" i="6" s="1"/>
  <c r="Q64" i="2" s="1"/>
  <c r="J65" i="6"/>
  <c r="R63" i="2" s="1"/>
  <c r="G65" i="6"/>
  <c r="H65" i="6" s="1"/>
  <c r="Q63" i="2" s="1"/>
  <c r="J64" i="6"/>
  <c r="R62" i="2" s="1"/>
  <c r="G64" i="6"/>
  <c r="H64" i="6" s="1"/>
  <c r="Q62" i="2" s="1"/>
  <c r="J63" i="6"/>
  <c r="R61" i="2" s="1"/>
  <c r="G63" i="6"/>
  <c r="H63" i="6" s="1"/>
  <c r="Q61" i="2" s="1"/>
  <c r="J62" i="6"/>
  <c r="R60" i="2" s="1"/>
  <c r="G62" i="6"/>
  <c r="H62" i="6" s="1"/>
  <c r="Q60" i="2" s="1"/>
  <c r="J61" i="6"/>
  <c r="R59" i="2" s="1"/>
  <c r="G61" i="6"/>
  <c r="H61" i="6" s="1"/>
  <c r="Q59" i="2" s="1"/>
  <c r="J60" i="6"/>
  <c r="R58" i="2" s="1"/>
  <c r="G60" i="6"/>
  <c r="H60" i="6" s="1"/>
  <c r="Q58" i="2" s="1"/>
  <c r="J59" i="6"/>
  <c r="R57" i="2" s="1"/>
  <c r="G59" i="6"/>
  <c r="H59" i="6" s="1"/>
  <c r="Q57" i="2" s="1"/>
  <c r="J58" i="6"/>
  <c r="R56" i="2" s="1"/>
  <c r="G58" i="6"/>
  <c r="H58" i="6" s="1"/>
  <c r="Q56" i="2" s="1"/>
  <c r="J57" i="6"/>
  <c r="R55" i="2" s="1"/>
  <c r="G57" i="6"/>
  <c r="H57" i="6" s="1"/>
  <c r="Q55" i="2" s="1"/>
  <c r="J56" i="6"/>
  <c r="R54" i="2" s="1"/>
  <c r="G56" i="6"/>
  <c r="H56" i="6" s="1"/>
  <c r="Q54" i="2" s="1"/>
  <c r="J55" i="6"/>
  <c r="R53" i="2" s="1"/>
  <c r="G55" i="6"/>
  <c r="H55" i="6" s="1"/>
  <c r="Q53" i="2" s="1"/>
  <c r="J54" i="6"/>
  <c r="R52" i="2" s="1"/>
  <c r="G54" i="6"/>
  <c r="H54" i="6" s="1"/>
  <c r="Q52" i="2" s="1"/>
  <c r="J53" i="6"/>
  <c r="R51" i="2" s="1"/>
  <c r="G53" i="6"/>
  <c r="H53" i="6" s="1"/>
  <c r="Q51" i="2" s="1"/>
  <c r="J52" i="6"/>
  <c r="R50" i="2" s="1"/>
  <c r="G52" i="6"/>
  <c r="H52" i="6" s="1"/>
  <c r="Q50" i="2" s="1"/>
  <c r="J51" i="6"/>
  <c r="R49" i="2" s="1"/>
  <c r="G51" i="6"/>
  <c r="H51" i="6" s="1"/>
  <c r="Q49" i="2" s="1"/>
  <c r="J50" i="6"/>
  <c r="R48" i="2" s="1"/>
  <c r="G50" i="6"/>
  <c r="H50" i="6" s="1"/>
  <c r="Q48" i="2" s="1"/>
  <c r="J49" i="6"/>
  <c r="R47" i="2" s="1"/>
  <c r="G49" i="6"/>
  <c r="H49" i="6" s="1"/>
  <c r="Q47" i="2" s="1"/>
  <c r="J48" i="6"/>
  <c r="R46" i="2" s="1"/>
  <c r="G48" i="6"/>
  <c r="H48" i="6" s="1"/>
  <c r="Q46" i="2" s="1"/>
  <c r="J47" i="6"/>
  <c r="R45" i="2" s="1"/>
  <c r="G47" i="6"/>
  <c r="H47" i="6" s="1"/>
  <c r="Q45" i="2" s="1"/>
  <c r="J46" i="6"/>
  <c r="R44" i="2" s="1"/>
  <c r="G46" i="6"/>
  <c r="H46" i="6" s="1"/>
  <c r="J45" i="6"/>
  <c r="R43" i="2" s="1"/>
  <c r="G45" i="6"/>
  <c r="H45" i="6" s="1"/>
  <c r="Q43" i="2" s="1"/>
  <c r="J44" i="6"/>
  <c r="R42" i="2" s="1"/>
  <c r="G44" i="6"/>
  <c r="H44" i="6" s="1"/>
  <c r="Q42" i="2" s="1"/>
  <c r="J43" i="6"/>
  <c r="R41" i="2" s="1"/>
  <c r="G43" i="6"/>
  <c r="H43" i="6" s="1"/>
  <c r="Q41" i="2" s="1"/>
  <c r="J42" i="6"/>
  <c r="R40" i="2" s="1"/>
  <c r="G42" i="6"/>
  <c r="H42" i="6" s="1"/>
  <c r="J41" i="6"/>
  <c r="R39" i="2" s="1"/>
  <c r="G41" i="6"/>
  <c r="H41" i="6" s="1"/>
  <c r="Q39" i="2" s="1"/>
  <c r="J40" i="6"/>
  <c r="R38" i="2" s="1"/>
  <c r="G40" i="6"/>
  <c r="H40" i="6" s="1"/>
  <c r="Q38" i="2" s="1"/>
  <c r="J39" i="6"/>
  <c r="R37" i="2" s="1"/>
  <c r="G39" i="6"/>
  <c r="H39" i="6" s="1"/>
  <c r="Q37" i="2" s="1"/>
  <c r="J38" i="6"/>
  <c r="R36" i="2" s="1"/>
  <c r="G38" i="6"/>
  <c r="H38" i="6" s="1"/>
  <c r="J37" i="6"/>
  <c r="R35" i="2" s="1"/>
  <c r="G37" i="6"/>
  <c r="H37" i="6" s="1"/>
  <c r="Q35" i="2" s="1"/>
  <c r="J36" i="6"/>
  <c r="R34" i="2" s="1"/>
  <c r="G36" i="6"/>
  <c r="H36" i="6" s="1"/>
  <c r="Q34" i="2" s="1"/>
  <c r="J35" i="6"/>
  <c r="R33" i="2" s="1"/>
  <c r="G35" i="6"/>
  <c r="H35" i="6" s="1"/>
  <c r="Q33" i="2" s="1"/>
  <c r="J34" i="6"/>
  <c r="R32" i="2" s="1"/>
  <c r="G34" i="6"/>
  <c r="H34" i="6" s="1"/>
  <c r="J33" i="6"/>
  <c r="R31" i="2" s="1"/>
  <c r="G33" i="6"/>
  <c r="H33" i="6" s="1"/>
  <c r="Q31" i="2" s="1"/>
  <c r="J32" i="6"/>
  <c r="R30" i="2" s="1"/>
  <c r="G32" i="6"/>
  <c r="H32" i="6" s="1"/>
  <c r="Q30" i="2" s="1"/>
  <c r="J31" i="6"/>
  <c r="R29" i="2" s="1"/>
  <c r="G31" i="6"/>
  <c r="H31" i="6" s="1"/>
  <c r="Q29" i="2" s="1"/>
  <c r="J30" i="6"/>
  <c r="R28" i="2" s="1"/>
  <c r="G30" i="6"/>
  <c r="H30" i="6" s="1"/>
  <c r="J29" i="6"/>
  <c r="R27" i="2" s="1"/>
  <c r="G29" i="6"/>
  <c r="H29" i="6" s="1"/>
  <c r="Q27" i="2" s="1"/>
  <c r="J28" i="6"/>
  <c r="R26" i="2" s="1"/>
  <c r="G28" i="6"/>
  <c r="H28" i="6" s="1"/>
  <c r="Q26" i="2" s="1"/>
  <c r="J27" i="6"/>
  <c r="R25" i="2" s="1"/>
  <c r="G27" i="6"/>
  <c r="H27" i="6" s="1"/>
  <c r="Q25" i="2" s="1"/>
  <c r="J26" i="6"/>
  <c r="R24" i="2" s="1"/>
  <c r="G26" i="6"/>
  <c r="H26" i="6" s="1"/>
  <c r="Q24" i="2" s="1"/>
  <c r="J25" i="6"/>
  <c r="R23" i="2" s="1"/>
  <c r="G25" i="6"/>
  <c r="H25" i="6" s="1"/>
  <c r="Q23" i="2" s="1"/>
  <c r="J24" i="6"/>
  <c r="R22" i="2" s="1"/>
  <c r="G24" i="6"/>
  <c r="H24" i="6" s="1"/>
  <c r="Q22" i="2" s="1"/>
  <c r="J23" i="6"/>
  <c r="R21" i="2" s="1"/>
  <c r="G23" i="6"/>
  <c r="H23" i="6" s="1"/>
  <c r="Q21" i="2" s="1"/>
  <c r="J22" i="6"/>
  <c r="R20" i="2" s="1"/>
  <c r="G22" i="6"/>
  <c r="H22" i="6" s="1"/>
  <c r="Q20" i="2" s="1"/>
  <c r="J21" i="6"/>
  <c r="R19" i="2" s="1"/>
  <c r="G21" i="6"/>
  <c r="H21" i="6" s="1"/>
  <c r="Q19" i="2" s="1"/>
  <c r="J20" i="6"/>
  <c r="R18" i="2" s="1"/>
  <c r="G20" i="6"/>
  <c r="H20" i="6" s="1"/>
  <c r="Q18" i="2" s="1"/>
  <c r="J19" i="6"/>
  <c r="R17" i="2" s="1"/>
  <c r="G19" i="6"/>
  <c r="H19" i="6" s="1"/>
  <c r="Q17" i="2" s="1"/>
  <c r="J18" i="6"/>
  <c r="R16" i="2" s="1"/>
  <c r="G18" i="6"/>
  <c r="H18" i="6" s="1"/>
  <c r="Q16" i="2" s="1"/>
  <c r="J17" i="6"/>
  <c r="R15" i="2" s="1"/>
  <c r="G17" i="6"/>
  <c r="H17" i="6" s="1"/>
  <c r="Q15" i="2" s="1"/>
  <c r="J16" i="6"/>
  <c r="R14" i="2" s="1"/>
  <c r="G16" i="6"/>
  <c r="H16" i="6" s="1"/>
  <c r="Q14" i="2" s="1"/>
  <c r="J15" i="6"/>
  <c r="R13" i="2" s="1"/>
  <c r="G15" i="6"/>
  <c r="H15" i="6" s="1"/>
  <c r="Q13" i="2" s="1"/>
  <c r="J14" i="6"/>
  <c r="R12" i="2" s="1"/>
  <c r="G14" i="6"/>
  <c r="H14" i="6" s="1"/>
  <c r="Q12" i="2" s="1"/>
  <c r="J13" i="6"/>
  <c r="R11" i="2" s="1"/>
  <c r="G13" i="6"/>
  <c r="H13" i="6" s="1"/>
  <c r="Q11" i="2" s="1"/>
  <c r="J12" i="6"/>
  <c r="R10" i="2" s="1"/>
  <c r="G12" i="6"/>
  <c r="H12" i="6" s="1"/>
  <c r="Q10" i="2" s="1"/>
  <c r="J11" i="6"/>
  <c r="R9" i="2" s="1"/>
  <c r="G11" i="6"/>
  <c r="H11" i="6" s="1"/>
  <c r="Q9" i="2" s="1"/>
  <c r="J10" i="6"/>
  <c r="R8" i="2" s="1"/>
  <c r="G10" i="6"/>
  <c r="H10" i="6" s="1"/>
  <c r="Q8" i="2" s="1"/>
  <c r="J9" i="6"/>
  <c r="R7" i="2" s="1"/>
  <c r="G9" i="6"/>
  <c r="H9" i="6" s="1"/>
  <c r="Q7" i="2" s="1"/>
  <c r="J8" i="6"/>
  <c r="R6" i="2" s="1"/>
  <c r="G8" i="6"/>
  <c r="H8" i="6" s="1"/>
  <c r="Q6" i="2" s="1"/>
  <c r="J7" i="6"/>
  <c r="R5" i="2" s="1"/>
  <c r="G7" i="6"/>
  <c r="H7" i="6" s="1"/>
  <c r="Q5" i="2" s="1"/>
  <c r="J6" i="6"/>
  <c r="R4" i="2" s="1"/>
  <c r="G6" i="6"/>
  <c r="H6" i="6" s="1"/>
  <c r="Q4" i="2" s="1"/>
  <c r="J5" i="6"/>
  <c r="R3" i="2" s="1"/>
  <c r="G5" i="6"/>
  <c r="H5" i="6" s="1"/>
  <c r="Q3" i="2" s="1"/>
  <c r="A5" i="6" a="1"/>
  <c r="A5" i="6" s="1"/>
  <c r="J103" i="5"/>
  <c r="K101" i="2" s="1"/>
  <c r="G103" i="5"/>
  <c r="H103" i="5" s="1"/>
  <c r="J102" i="5"/>
  <c r="K100" i="2" s="1"/>
  <c r="G102" i="5"/>
  <c r="H102" i="5" s="1"/>
  <c r="J101" i="5"/>
  <c r="K99" i="2" s="1"/>
  <c r="G101" i="5"/>
  <c r="H101" i="5" s="1"/>
  <c r="J100" i="5"/>
  <c r="K98" i="2" s="1"/>
  <c r="G100" i="5"/>
  <c r="H100" i="5" s="1"/>
  <c r="J99" i="5"/>
  <c r="K97" i="2" s="1"/>
  <c r="G99" i="5"/>
  <c r="H99" i="5" s="1"/>
  <c r="J97" i="2" s="1"/>
  <c r="J98" i="5"/>
  <c r="K96" i="2" s="1"/>
  <c r="G98" i="5"/>
  <c r="H98" i="5" s="1"/>
  <c r="J96" i="2" s="1"/>
  <c r="J97" i="5"/>
  <c r="K95" i="2" s="1"/>
  <c r="G97" i="5"/>
  <c r="H97" i="5" s="1"/>
  <c r="J96" i="5"/>
  <c r="K94" i="2" s="1"/>
  <c r="G96" i="5"/>
  <c r="H96" i="5" s="1"/>
  <c r="J94" i="2" s="1"/>
  <c r="J95" i="5"/>
  <c r="K93" i="2" s="1"/>
  <c r="G95" i="5"/>
  <c r="H95" i="5" s="1"/>
  <c r="J94" i="5"/>
  <c r="K92" i="2" s="1"/>
  <c r="G94" i="5"/>
  <c r="H94" i="5" s="1"/>
  <c r="J93" i="5"/>
  <c r="K91" i="2" s="1"/>
  <c r="G93" i="5"/>
  <c r="H93" i="5" s="1"/>
  <c r="J92" i="5"/>
  <c r="K90" i="2" s="1"/>
  <c r="G92" i="5"/>
  <c r="H92" i="5" s="1"/>
  <c r="J91" i="5"/>
  <c r="K89" i="2" s="1"/>
  <c r="G91" i="5"/>
  <c r="H91" i="5" s="1"/>
  <c r="J90" i="5"/>
  <c r="K88" i="2" s="1"/>
  <c r="G90" i="5"/>
  <c r="H90" i="5" s="1"/>
  <c r="J89" i="5"/>
  <c r="K87" i="2" s="1"/>
  <c r="G89" i="5"/>
  <c r="H89" i="5" s="1"/>
  <c r="J88" i="5"/>
  <c r="K86" i="2" s="1"/>
  <c r="G88" i="5"/>
  <c r="H88" i="5" s="1"/>
  <c r="J86" i="2" s="1"/>
  <c r="J87" i="5"/>
  <c r="K85" i="2" s="1"/>
  <c r="G87" i="5"/>
  <c r="H87" i="5" s="1"/>
  <c r="J86" i="5"/>
  <c r="K84" i="2" s="1"/>
  <c r="G86" i="5"/>
  <c r="H86" i="5" s="1"/>
  <c r="J85" i="5"/>
  <c r="K83" i="2" s="1"/>
  <c r="G85" i="5"/>
  <c r="H85" i="5" s="1"/>
  <c r="J84" i="5"/>
  <c r="K82" i="2" s="1"/>
  <c r="G84" i="5"/>
  <c r="H84" i="5" s="1"/>
  <c r="J83" i="5"/>
  <c r="K81" i="2" s="1"/>
  <c r="G83" i="5"/>
  <c r="H83" i="5" s="1"/>
  <c r="J82" i="5"/>
  <c r="K80" i="2" s="1"/>
  <c r="G82" i="5"/>
  <c r="H82" i="5" s="1"/>
  <c r="J80" i="2" s="1"/>
  <c r="J81" i="5"/>
  <c r="K79" i="2" s="1"/>
  <c r="G81" i="5"/>
  <c r="H81" i="5" s="1"/>
  <c r="J79" i="2" s="1"/>
  <c r="J80" i="5"/>
  <c r="K78" i="2" s="1"/>
  <c r="G80" i="5"/>
  <c r="H80" i="5" s="1"/>
  <c r="J78" i="2" s="1"/>
  <c r="J79" i="5"/>
  <c r="K77" i="2" s="1"/>
  <c r="G79" i="5"/>
  <c r="H79" i="5" s="1"/>
  <c r="J78" i="5"/>
  <c r="K76" i="2" s="1"/>
  <c r="G78" i="5"/>
  <c r="H78" i="5" s="1"/>
  <c r="J76" i="2" s="1"/>
  <c r="J77" i="5"/>
  <c r="K75" i="2" s="1"/>
  <c r="G77" i="5"/>
  <c r="H77" i="5" s="1"/>
  <c r="J76" i="5"/>
  <c r="K74" i="2" s="1"/>
  <c r="G76" i="5"/>
  <c r="H76" i="5" s="1"/>
  <c r="J75" i="5"/>
  <c r="K73" i="2" s="1"/>
  <c r="G75" i="5"/>
  <c r="H75" i="5" s="1"/>
  <c r="J74" i="5"/>
  <c r="K72" i="2" s="1"/>
  <c r="G74" i="5"/>
  <c r="H74" i="5" s="1"/>
  <c r="J72" i="2" s="1"/>
  <c r="J73" i="5"/>
  <c r="K71" i="2" s="1"/>
  <c r="G73" i="5"/>
  <c r="H73" i="5" s="1"/>
  <c r="J72" i="5"/>
  <c r="G72" i="5"/>
  <c r="H72" i="5" s="1"/>
  <c r="J70" i="2" s="1"/>
  <c r="J71" i="5"/>
  <c r="K69" i="2" s="1"/>
  <c r="G71" i="5"/>
  <c r="H71" i="5" s="1"/>
  <c r="J69" i="2" s="1"/>
  <c r="J70" i="5"/>
  <c r="K68" i="2" s="1"/>
  <c r="G70" i="5"/>
  <c r="H70" i="5" s="1"/>
  <c r="J68" i="2" s="1"/>
  <c r="J69" i="5"/>
  <c r="K67" i="2" s="1"/>
  <c r="G69" i="5"/>
  <c r="H69" i="5" s="1"/>
  <c r="J68" i="5"/>
  <c r="K66" i="2" s="1"/>
  <c r="G68" i="5"/>
  <c r="H68" i="5" s="1"/>
  <c r="J66" i="2" s="1"/>
  <c r="J67" i="5"/>
  <c r="K65" i="2" s="1"/>
  <c r="G67" i="5"/>
  <c r="H67" i="5" s="1"/>
  <c r="J66" i="5"/>
  <c r="K64" i="2" s="1"/>
  <c r="G66" i="5"/>
  <c r="H66" i="5" s="1"/>
  <c r="J65" i="5"/>
  <c r="K63" i="2" s="1"/>
  <c r="G65" i="5"/>
  <c r="H65" i="5" s="1"/>
  <c r="J64" i="5"/>
  <c r="K62" i="2" s="1"/>
  <c r="G64" i="5"/>
  <c r="H64" i="5" s="1"/>
  <c r="J62" i="2" s="1"/>
  <c r="J63" i="5"/>
  <c r="K61" i="2" s="1"/>
  <c r="G63" i="5"/>
  <c r="H63" i="5" s="1"/>
  <c r="J62" i="5"/>
  <c r="K60" i="2" s="1"/>
  <c r="G62" i="5"/>
  <c r="H62" i="5" s="1"/>
  <c r="J61" i="5"/>
  <c r="K59" i="2" s="1"/>
  <c r="G61" i="5"/>
  <c r="H61" i="5" s="1"/>
  <c r="J60" i="5"/>
  <c r="K58" i="2" s="1"/>
  <c r="G60" i="5"/>
  <c r="H60" i="5" s="1"/>
  <c r="J59" i="5"/>
  <c r="K57" i="2" s="1"/>
  <c r="G59" i="5"/>
  <c r="H59" i="5" s="1"/>
  <c r="J58" i="5"/>
  <c r="K56" i="2" s="1"/>
  <c r="G58" i="5"/>
  <c r="H58" i="5" s="1"/>
  <c r="J57" i="5"/>
  <c r="K55" i="2" s="1"/>
  <c r="G57" i="5"/>
  <c r="H57" i="5" s="1"/>
  <c r="J56" i="5"/>
  <c r="K54" i="2" s="1"/>
  <c r="G56" i="5"/>
  <c r="H56" i="5" s="1"/>
  <c r="J54" i="2" s="1"/>
  <c r="J55" i="5"/>
  <c r="K53" i="2" s="1"/>
  <c r="G55" i="5"/>
  <c r="H55" i="5" s="1"/>
  <c r="J54" i="5"/>
  <c r="K52" i="2" s="1"/>
  <c r="G54" i="5"/>
  <c r="H54" i="5" s="1"/>
  <c r="J53" i="5"/>
  <c r="K51" i="2" s="1"/>
  <c r="G53" i="5"/>
  <c r="H53" i="5" s="1"/>
  <c r="J52" i="5"/>
  <c r="K50" i="2" s="1"/>
  <c r="G52" i="5"/>
  <c r="H52" i="5" s="1"/>
  <c r="J51" i="5"/>
  <c r="K49" i="2" s="1"/>
  <c r="G51" i="5"/>
  <c r="H51" i="5" s="1"/>
  <c r="J50" i="5"/>
  <c r="K48" i="2" s="1"/>
  <c r="G50" i="5"/>
  <c r="H50" i="5" s="1"/>
  <c r="J48" i="2" s="1"/>
  <c r="J49" i="5"/>
  <c r="K47" i="2" s="1"/>
  <c r="G49" i="5"/>
  <c r="H49" i="5" s="1"/>
  <c r="J47" i="2" s="1"/>
  <c r="J48" i="5"/>
  <c r="K46" i="2" s="1"/>
  <c r="G48" i="5"/>
  <c r="H48" i="5" s="1"/>
  <c r="J46" i="2" s="1"/>
  <c r="J47" i="5"/>
  <c r="K45" i="2" s="1"/>
  <c r="G47" i="5"/>
  <c r="H47" i="5" s="1"/>
  <c r="J46" i="5"/>
  <c r="K44" i="2" s="1"/>
  <c r="G46" i="5"/>
  <c r="H46" i="5" s="1"/>
  <c r="J45" i="5"/>
  <c r="K43" i="2" s="1"/>
  <c r="G45" i="5"/>
  <c r="H45" i="5" s="1"/>
  <c r="J44" i="5"/>
  <c r="K42" i="2" s="1"/>
  <c r="G44" i="5"/>
  <c r="H44" i="5" s="1"/>
  <c r="J43" i="5"/>
  <c r="K41" i="2" s="1"/>
  <c r="G43" i="5"/>
  <c r="H43" i="5" s="1"/>
  <c r="J42" i="5"/>
  <c r="K40" i="2" s="1"/>
  <c r="G42" i="5"/>
  <c r="H42" i="5" s="1"/>
  <c r="J41" i="5"/>
  <c r="K39" i="2" s="1"/>
  <c r="G41" i="5"/>
  <c r="H41" i="5" s="1"/>
  <c r="J39" i="2" s="1"/>
  <c r="J40" i="5"/>
  <c r="K38" i="2" s="1"/>
  <c r="G40" i="5"/>
  <c r="H40" i="5" s="1"/>
  <c r="J39" i="5"/>
  <c r="K37" i="2" s="1"/>
  <c r="G39" i="5"/>
  <c r="H39" i="5" s="1"/>
  <c r="J37" i="2" s="1"/>
  <c r="J38" i="5"/>
  <c r="K36" i="2" s="1"/>
  <c r="G38" i="5"/>
  <c r="H38" i="5" s="1"/>
  <c r="J37" i="5"/>
  <c r="K35" i="2" s="1"/>
  <c r="G37" i="5"/>
  <c r="H37" i="5" s="1"/>
  <c r="J36" i="5"/>
  <c r="K34" i="2" s="1"/>
  <c r="G36" i="5"/>
  <c r="H36" i="5" s="1"/>
  <c r="J35" i="5"/>
  <c r="K33" i="2" s="1"/>
  <c r="G35" i="5"/>
  <c r="H35" i="5" s="1"/>
  <c r="J34" i="5"/>
  <c r="K32" i="2" s="1"/>
  <c r="G34" i="5"/>
  <c r="H34" i="5" s="1"/>
  <c r="J33" i="5"/>
  <c r="K31" i="2" s="1"/>
  <c r="G33" i="5"/>
  <c r="H33" i="5" s="1"/>
  <c r="J31" i="2" s="1"/>
  <c r="J32" i="5"/>
  <c r="K30" i="2" s="1"/>
  <c r="G32" i="5"/>
  <c r="H32" i="5" s="1"/>
  <c r="J31" i="5"/>
  <c r="K29" i="2" s="1"/>
  <c r="G31" i="5"/>
  <c r="H31" i="5" s="1"/>
  <c r="J29" i="2" s="1"/>
  <c r="J30" i="5"/>
  <c r="K28" i="2" s="1"/>
  <c r="G30" i="5"/>
  <c r="H30" i="5" s="1"/>
  <c r="J29" i="5"/>
  <c r="K27" i="2" s="1"/>
  <c r="G29" i="5"/>
  <c r="H29" i="5" s="1"/>
  <c r="J28" i="5"/>
  <c r="K26" i="2" s="1"/>
  <c r="G28" i="5"/>
  <c r="H28" i="5" s="1"/>
  <c r="J27" i="5"/>
  <c r="K25" i="2" s="1"/>
  <c r="G27" i="5"/>
  <c r="H27" i="5" s="1"/>
  <c r="J26" i="5"/>
  <c r="K24" i="2" s="1"/>
  <c r="G26" i="5"/>
  <c r="H26" i="5" s="1"/>
  <c r="J25" i="5"/>
  <c r="K23" i="2" s="1"/>
  <c r="G25" i="5"/>
  <c r="H25" i="5" s="1"/>
  <c r="J23" i="2" s="1"/>
  <c r="J24" i="5"/>
  <c r="K22" i="2" s="1"/>
  <c r="G24" i="5"/>
  <c r="H24" i="5" s="1"/>
  <c r="J23" i="5"/>
  <c r="K21" i="2" s="1"/>
  <c r="G23" i="5"/>
  <c r="H23" i="5" s="1"/>
  <c r="J21" i="2" s="1"/>
  <c r="J22" i="5"/>
  <c r="K20" i="2" s="1"/>
  <c r="G22" i="5"/>
  <c r="H22" i="5" s="1"/>
  <c r="J21" i="5"/>
  <c r="K19" i="2" s="1"/>
  <c r="G21" i="5"/>
  <c r="H21" i="5" s="1"/>
  <c r="J19" i="2" s="1"/>
  <c r="J20" i="5"/>
  <c r="K18" i="2" s="1"/>
  <c r="G20" i="5"/>
  <c r="H20" i="5" s="1"/>
  <c r="J19" i="5"/>
  <c r="K17" i="2" s="1"/>
  <c r="G19" i="5"/>
  <c r="H19" i="5" s="1"/>
  <c r="J17" i="2" s="1"/>
  <c r="J18" i="5"/>
  <c r="K16" i="2" s="1"/>
  <c r="G18" i="5"/>
  <c r="H18" i="5" s="1"/>
  <c r="J17" i="5"/>
  <c r="K15" i="2" s="1"/>
  <c r="G17" i="5"/>
  <c r="H17" i="5" s="1"/>
  <c r="J15" i="2" s="1"/>
  <c r="J16" i="5"/>
  <c r="K14" i="2" s="1"/>
  <c r="G16" i="5"/>
  <c r="H16" i="5" s="1"/>
  <c r="J14" i="2" s="1"/>
  <c r="J15" i="5"/>
  <c r="K13" i="2" s="1"/>
  <c r="G15" i="5"/>
  <c r="H15" i="5" s="1"/>
  <c r="J13" i="2" s="1"/>
  <c r="J14" i="5"/>
  <c r="K12" i="2" s="1"/>
  <c r="G14" i="5"/>
  <c r="H14" i="5" s="1"/>
  <c r="J12" i="2" s="1"/>
  <c r="J13" i="5"/>
  <c r="K11" i="2" s="1"/>
  <c r="G13" i="5"/>
  <c r="H13" i="5" s="1"/>
  <c r="J11" i="2" s="1"/>
  <c r="J12" i="5"/>
  <c r="K10" i="2" s="1"/>
  <c r="G12" i="5"/>
  <c r="H12" i="5" s="1"/>
  <c r="J10" i="2" s="1"/>
  <c r="J11" i="5"/>
  <c r="K9" i="2" s="1"/>
  <c r="G11" i="5"/>
  <c r="H11" i="5" s="1"/>
  <c r="J9" i="2" s="1"/>
  <c r="J10" i="5"/>
  <c r="K8" i="2" s="1"/>
  <c r="G10" i="5"/>
  <c r="H10" i="5" s="1"/>
  <c r="J8" i="2" s="1"/>
  <c r="J9" i="5"/>
  <c r="K7" i="2" s="1"/>
  <c r="G9" i="5"/>
  <c r="H9" i="5" s="1"/>
  <c r="J7" i="2" s="1"/>
  <c r="J8" i="5"/>
  <c r="K6" i="2" s="1"/>
  <c r="G8" i="5"/>
  <c r="H8" i="5" s="1"/>
  <c r="J6" i="2" s="1"/>
  <c r="J7" i="5"/>
  <c r="K5" i="2" s="1"/>
  <c r="G7" i="5"/>
  <c r="H7" i="5" s="1"/>
  <c r="J5" i="2" s="1"/>
  <c r="J6" i="5"/>
  <c r="K4" i="2" s="1"/>
  <c r="G6" i="5"/>
  <c r="H6" i="5" s="1"/>
  <c r="J4" i="2" s="1"/>
  <c r="J5" i="5"/>
  <c r="K3" i="2" s="1"/>
  <c r="G5" i="5"/>
  <c r="H5" i="5" s="1"/>
  <c r="J3" i="2" s="1"/>
  <c r="A5" i="5" a="1"/>
  <c r="A5" i="5" s="1"/>
  <c r="G6" i="3"/>
  <c r="H6" i="3" s="1"/>
  <c r="C4" i="2" s="1"/>
  <c r="G7" i="3"/>
  <c r="H7" i="3" s="1"/>
  <c r="C5" i="2" s="1"/>
  <c r="G8" i="3"/>
  <c r="H8" i="3" s="1"/>
  <c r="C6" i="2" s="1"/>
  <c r="G9" i="3"/>
  <c r="H9" i="3" s="1"/>
  <c r="C7" i="2" s="1"/>
  <c r="G10" i="3"/>
  <c r="H10" i="3" s="1"/>
  <c r="C8" i="2" s="1"/>
  <c r="G11" i="3"/>
  <c r="H11" i="3" s="1"/>
  <c r="C9" i="2" s="1"/>
  <c r="G12" i="3"/>
  <c r="H12" i="3" s="1"/>
  <c r="C10" i="2" s="1"/>
  <c r="G13" i="3"/>
  <c r="H13" i="3" s="1"/>
  <c r="C11" i="2" s="1"/>
  <c r="G14" i="3"/>
  <c r="H14" i="3" s="1"/>
  <c r="C12" i="2" s="1"/>
  <c r="G15" i="3"/>
  <c r="H15" i="3" s="1"/>
  <c r="C13" i="2" s="1"/>
  <c r="G16" i="3"/>
  <c r="H16" i="3" s="1"/>
  <c r="C14" i="2" s="1"/>
  <c r="G17" i="3"/>
  <c r="H17" i="3" s="1"/>
  <c r="C15" i="2" s="1"/>
  <c r="G18" i="3"/>
  <c r="H18" i="3" s="1"/>
  <c r="C16" i="2" s="1"/>
  <c r="G19" i="3"/>
  <c r="H19" i="3" s="1"/>
  <c r="C17" i="2" s="1"/>
  <c r="G20" i="3"/>
  <c r="H20" i="3" s="1"/>
  <c r="C18" i="2" s="1"/>
  <c r="G21" i="3"/>
  <c r="H21" i="3" s="1"/>
  <c r="C19" i="2" s="1"/>
  <c r="G22" i="3"/>
  <c r="H22" i="3" s="1"/>
  <c r="C20" i="2" s="1"/>
  <c r="G23" i="3"/>
  <c r="H23" i="3" s="1"/>
  <c r="C21" i="2" s="1"/>
  <c r="G24" i="3"/>
  <c r="H24" i="3" s="1"/>
  <c r="C22" i="2" s="1"/>
  <c r="G25" i="3"/>
  <c r="H25" i="3" s="1"/>
  <c r="C23" i="2" s="1"/>
  <c r="G26" i="3"/>
  <c r="H26" i="3" s="1"/>
  <c r="G27" i="3"/>
  <c r="H27" i="3" s="1"/>
  <c r="G28" i="3"/>
  <c r="H28" i="3" s="1"/>
  <c r="C26" i="2" s="1"/>
  <c r="G29" i="3"/>
  <c r="H29" i="3" s="1"/>
  <c r="C27" i="2" s="1"/>
  <c r="G30" i="3"/>
  <c r="H30" i="3" s="1"/>
  <c r="G31" i="3"/>
  <c r="H31" i="3" s="1"/>
  <c r="G32" i="3"/>
  <c r="H32" i="3" s="1"/>
  <c r="C30" i="2" s="1"/>
  <c r="G33" i="3"/>
  <c r="H33" i="3" s="1"/>
  <c r="C31" i="2" s="1"/>
  <c r="G34" i="3"/>
  <c r="H34" i="3" s="1"/>
  <c r="G35" i="3"/>
  <c r="H35" i="3" s="1"/>
  <c r="G36" i="3"/>
  <c r="H36" i="3" s="1"/>
  <c r="C34" i="2" s="1"/>
  <c r="G37" i="3"/>
  <c r="H37" i="3" s="1"/>
  <c r="C35" i="2" s="1"/>
  <c r="G38" i="3"/>
  <c r="H38" i="3" s="1"/>
  <c r="G39" i="3"/>
  <c r="H39" i="3" s="1"/>
  <c r="G40" i="3"/>
  <c r="H40" i="3" s="1"/>
  <c r="C38" i="2" s="1"/>
  <c r="G41" i="3"/>
  <c r="H41" i="3" s="1"/>
  <c r="C39" i="2" s="1"/>
  <c r="G42" i="3"/>
  <c r="H42" i="3" s="1"/>
  <c r="G43" i="3"/>
  <c r="H43" i="3" s="1"/>
  <c r="G44" i="3"/>
  <c r="H44" i="3" s="1"/>
  <c r="C42" i="2" s="1"/>
  <c r="G45" i="3"/>
  <c r="H45" i="3" s="1"/>
  <c r="C43" i="2" s="1"/>
  <c r="G46" i="3"/>
  <c r="H46" i="3" s="1"/>
  <c r="G47" i="3"/>
  <c r="H47" i="3" s="1"/>
  <c r="G48" i="3"/>
  <c r="H48" i="3" s="1"/>
  <c r="C46" i="2" s="1"/>
  <c r="G49" i="3"/>
  <c r="H49" i="3" s="1"/>
  <c r="C47" i="2" s="1"/>
  <c r="G50" i="3"/>
  <c r="H50" i="3" s="1"/>
  <c r="G51" i="3"/>
  <c r="H51" i="3" s="1"/>
  <c r="G52" i="3"/>
  <c r="H52" i="3" s="1"/>
  <c r="C50" i="2" s="1"/>
  <c r="G53" i="3"/>
  <c r="H53" i="3" s="1"/>
  <c r="C51" i="2" s="1"/>
  <c r="G54" i="3"/>
  <c r="H54" i="3" s="1"/>
  <c r="G55" i="3"/>
  <c r="H55" i="3" s="1"/>
  <c r="G56" i="3"/>
  <c r="H56" i="3" s="1"/>
  <c r="C54" i="2" s="1"/>
  <c r="G57" i="3"/>
  <c r="H57" i="3" s="1"/>
  <c r="C55" i="2" s="1"/>
  <c r="G58" i="3"/>
  <c r="H58" i="3" s="1"/>
  <c r="G59" i="3"/>
  <c r="H59" i="3" s="1"/>
  <c r="G60" i="3"/>
  <c r="H60" i="3" s="1"/>
  <c r="C58" i="2" s="1"/>
  <c r="G61" i="3"/>
  <c r="H61" i="3" s="1"/>
  <c r="C59" i="2" s="1"/>
  <c r="G62" i="3"/>
  <c r="H62" i="3" s="1"/>
  <c r="G63" i="3"/>
  <c r="H63" i="3" s="1"/>
  <c r="G64" i="3"/>
  <c r="H64" i="3" s="1"/>
  <c r="C62" i="2" s="1"/>
  <c r="G65" i="3"/>
  <c r="H65" i="3" s="1"/>
  <c r="C63" i="2" s="1"/>
  <c r="G66" i="3"/>
  <c r="H66" i="3" s="1"/>
  <c r="G67" i="3"/>
  <c r="H67" i="3" s="1"/>
  <c r="G68" i="3"/>
  <c r="H68" i="3" s="1"/>
  <c r="C66" i="2" s="1"/>
  <c r="G69" i="3"/>
  <c r="H69" i="3" s="1"/>
  <c r="C67" i="2" s="1"/>
  <c r="G70" i="3"/>
  <c r="H70" i="3" s="1"/>
  <c r="G71" i="3"/>
  <c r="H71" i="3" s="1"/>
  <c r="G72" i="3"/>
  <c r="H72" i="3" s="1"/>
  <c r="C70" i="2" s="1"/>
  <c r="G73" i="3"/>
  <c r="H73" i="3" s="1"/>
  <c r="C71" i="2" s="1"/>
  <c r="G74" i="3"/>
  <c r="H74" i="3" s="1"/>
  <c r="G75" i="3"/>
  <c r="H75" i="3" s="1"/>
  <c r="G76" i="3"/>
  <c r="H76" i="3" s="1"/>
  <c r="C74" i="2" s="1"/>
  <c r="G77" i="3"/>
  <c r="H77" i="3" s="1"/>
  <c r="C75" i="2" s="1"/>
  <c r="G78" i="3"/>
  <c r="H78" i="3" s="1"/>
  <c r="G79" i="3"/>
  <c r="H79" i="3" s="1"/>
  <c r="G80" i="3"/>
  <c r="H80" i="3" s="1"/>
  <c r="C78" i="2" s="1"/>
  <c r="G81" i="3"/>
  <c r="H81" i="3" s="1"/>
  <c r="C79" i="2" s="1"/>
  <c r="G82" i="3"/>
  <c r="H82" i="3" s="1"/>
  <c r="G83" i="3"/>
  <c r="H83" i="3" s="1"/>
  <c r="G84" i="3"/>
  <c r="H84" i="3" s="1"/>
  <c r="C82" i="2" s="1"/>
  <c r="G85" i="3"/>
  <c r="H85" i="3" s="1"/>
  <c r="C83" i="2" s="1"/>
  <c r="G86" i="3"/>
  <c r="H86" i="3" s="1"/>
  <c r="G87" i="3"/>
  <c r="H87" i="3" s="1"/>
  <c r="G88" i="3"/>
  <c r="H88" i="3" s="1"/>
  <c r="C86" i="2" s="1"/>
  <c r="G89" i="3"/>
  <c r="H89" i="3" s="1"/>
  <c r="C87" i="2" s="1"/>
  <c r="G90" i="3"/>
  <c r="H90" i="3" s="1"/>
  <c r="G91" i="3"/>
  <c r="H91" i="3" s="1"/>
  <c r="G92" i="3"/>
  <c r="H92" i="3" s="1"/>
  <c r="C90" i="2" s="1"/>
  <c r="G93" i="3"/>
  <c r="H93" i="3" s="1"/>
  <c r="C91" i="2" s="1"/>
  <c r="G94" i="3"/>
  <c r="H94" i="3" s="1"/>
  <c r="G95" i="3"/>
  <c r="H95" i="3" s="1"/>
  <c r="C93" i="2" s="1"/>
  <c r="G96" i="3"/>
  <c r="H96" i="3" s="1"/>
  <c r="C94" i="2" s="1"/>
  <c r="G97" i="3"/>
  <c r="H97" i="3" s="1"/>
  <c r="C95" i="2" s="1"/>
  <c r="G98" i="3"/>
  <c r="H98" i="3" s="1"/>
  <c r="G99" i="3"/>
  <c r="H99" i="3" s="1"/>
  <c r="G100" i="3"/>
  <c r="H100" i="3" s="1"/>
  <c r="C98" i="2" s="1"/>
  <c r="G101" i="3"/>
  <c r="H101" i="3" s="1"/>
  <c r="C99" i="2" s="1"/>
  <c r="G102" i="3"/>
  <c r="H102" i="3" s="1"/>
  <c r="G103" i="3"/>
  <c r="H103" i="3" s="1"/>
  <c r="J6" i="3"/>
  <c r="D4" i="2" s="1"/>
  <c r="J7" i="3"/>
  <c r="D5" i="2" s="1"/>
  <c r="J8" i="3"/>
  <c r="D6" i="2" s="1"/>
  <c r="J9" i="3"/>
  <c r="D7" i="2" s="1"/>
  <c r="J10" i="3"/>
  <c r="D8" i="2" s="1"/>
  <c r="J11" i="3"/>
  <c r="D9" i="2" s="1"/>
  <c r="J12" i="3"/>
  <c r="D10" i="2" s="1"/>
  <c r="J13" i="3"/>
  <c r="D11" i="2" s="1"/>
  <c r="J14" i="3"/>
  <c r="D12" i="2" s="1"/>
  <c r="J15" i="3"/>
  <c r="D13" i="2" s="1"/>
  <c r="J16" i="3"/>
  <c r="D14" i="2" s="1"/>
  <c r="J17" i="3"/>
  <c r="D15" i="2" s="1"/>
  <c r="J18" i="3"/>
  <c r="D16" i="2" s="1"/>
  <c r="J19" i="3"/>
  <c r="D17" i="2" s="1"/>
  <c r="J20" i="3"/>
  <c r="D18" i="2" s="1"/>
  <c r="J21" i="3"/>
  <c r="D19" i="2" s="1"/>
  <c r="J22" i="3"/>
  <c r="D20" i="2" s="1"/>
  <c r="J23" i="3"/>
  <c r="D21" i="2" s="1"/>
  <c r="J24" i="3"/>
  <c r="D22" i="2" s="1"/>
  <c r="J25" i="3"/>
  <c r="D23" i="2" s="1"/>
  <c r="J26" i="3"/>
  <c r="D24" i="2" s="1"/>
  <c r="J27" i="3"/>
  <c r="D25" i="2" s="1"/>
  <c r="J28" i="3"/>
  <c r="D26" i="2" s="1"/>
  <c r="J29" i="3"/>
  <c r="D27" i="2" s="1"/>
  <c r="J30" i="3"/>
  <c r="D28" i="2" s="1"/>
  <c r="J31" i="3"/>
  <c r="D29" i="2" s="1"/>
  <c r="J32" i="3"/>
  <c r="D30" i="2" s="1"/>
  <c r="J33" i="3"/>
  <c r="D31" i="2" s="1"/>
  <c r="J34" i="3"/>
  <c r="D32" i="2" s="1"/>
  <c r="J35" i="3"/>
  <c r="D33" i="2" s="1"/>
  <c r="J36" i="3"/>
  <c r="D34" i="2" s="1"/>
  <c r="J37" i="3"/>
  <c r="D35" i="2" s="1"/>
  <c r="J38" i="3"/>
  <c r="D36" i="2" s="1"/>
  <c r="J39" i="3"/>
  <c r="D37" i="2" s="1"/>
  <c r="J40" i="3"/>
  <c r="D38" i="2" s="1"/>
  <c r="J41" i="3"/>
  <c r="D39" i="2" s="1"/>
  <c r="J42" i="3"/>
  <c r="D40" i="2" s="1"/>
  <c r="J43" i="3"/>
  <c r="D41" i="2" s="1"/>
  <c r="J44" i="3"/>
  <c r="D42" i="2" s="1"/>
  <c r="J45" i="3"/>
  <c r="D43" i="2" s="1"/>
  <c r="J46" i="3"/>
  <c r="D44" i="2" s="1"/>
  <c r="J47" i="3"/>
  <c r="D45" i="2" s="1"/>
  <c r="J48" i="3"/>
  <c r="D46" i="2" s="1"/>
  <c r="J49" i="3"/>
  <c r="D47" i="2" s="1"/>
  <c r="J50" i="3"/>
  <c r="D48" i="2" s="1"/>
  <c r="J51" i="3"/>
  <c r="D49" i="2" s="1"/>
  <c r="J52" i="3"/>
  <c r="D50" i="2" s="1"/>
  <c r="J53" i="3"/>
  <c r="D51" i="2" s="1"/>
  <c r="J54" i="3"/>
  <c r="D52" i="2" s="1"/>
  <c r="J55" i="3"/>
  <c r="D53" i="2" s="1"/>
  <c r="J56" i="3"/>
  <c r="D54" i="2" s="1"/>
  <c r="J57" i="3"/>
  <c r="D55" i="2" s="1"/>
  <c r="J58" i="3"/>
  <c r="D56" i="2" s="1"/>
  <c r="J59" i="3"/>
  <c r="D57" i="2" s="1"/>
  <c r="J60" i="3"/>
  <c r="D58" i="2" s="1"/>
  <c r="J61" i="3"/>
  <c r="D59" i="2" s="1"/>
  <c r="J62" i="3"/>
  <c r="D60" i="2" s="1"/>
  <c r="J63" i="3"/>
  <c r="D61" i="2" s="1"/>
  <c r="J64" i="3"/>
  <c r="D62" i="2" s="1"/>
  <c r="J65" i="3"/>
  <c r="D63" i="2" s="1"/>
  <c r="J66" i="3"/>
  <c r="D64" i="2" s="1"/>
  <c r="J67" i="3"/>
  <c r="D65" i="2" s="1"/>
  <c r="J68" i="3"/>
  <c r="D66" i="2" s="1"/>
  <c r="J69" i="3"/>
  <c r="D67" i="2" s="1"/>
  <c r="J70" i="3"/>
  <c r="D68" i="2" s="1"/>
  <c r="J71" i="3"/>
  <c r="D69" i="2" s="1"/>
  <c r="J72" i="3"/>
  <c r="D70" i="2" s="1"/>
  <c r="J73" i="3"/>
  <c r="D71" i="2" s="1"/>
  <c r="J74" i="3"/>
  <c r="D72" i="2" s="1"/>
  <c r="J75" i="3"/>
  <c r="D73" i="2" s="1"/>
  <c r="J76" i="3"/>
  <c r="D74" i="2" s="1"/>
  <c r="J77" i="3"/>
  <c r="D75" i="2" s="1"/>
  <c r="J78" i="3"/>
  <c r="D76" i="2" s="1"/>
  <c r="J79" i="3"/>
  <c r="D77" i="2" s="1"/>
  <c r="J80" i="3"/>
  <c r="D78" i="2" s="1"/>
  <c r="J81" i="3"/>
  <c r="D79" i="2" s="1"/>
  <c r="J82" i="3"/>
  <c r="D80" i="2" s="1"/>
  <c r="J83" i="3"/>
  <c r="D81" i="2" s="1"/>
  <c r="J84" i="3"/>
  <c r="D82" i="2" s="1"/>
  <c r="J85" i="3"/>
  <c r="D83" i="2" s="1"/>
  <c r="J86" i="3"/>
  <c r="D84" i="2" s="1"/>
  <c r="J87" i="3"/>
  <c r="D85" i="2" s="1"/>
  <c r="J88" i="3"/>
  <c r="D86" i="2" s="1"/>
  <c r="J89" i="3"/>
  <c r="D87" i="2" s="1"/>
  <c r="J90" i="3"/>
  <c r="D88" i="2" s="1"/>
  <c r="J91" i="3"/>
  <c r="D89" i="2" s="1"/>
  <c r="J92" i="3"/>
  <c r="D90" i="2" s="1"/>
  <c r="J93" i="3"/>
  <c r="D91" i="2" s="1"/>
  <c r="J94" i="3"/>
  <c r="D92" i="2" s="1"/>
  <c r="J95" i="3"/>
  <c r="D93" i="2" s="1"/>
  <c r="J96" i="3"/>
  <c r="D94" i="2" s="1"/>
  <c r="J97" i="3"/>
  <c r="D95" i="2" s="1"/>
  <c r="J98" i="3"/>
  <c r="D96" i="2" s="1"/>
  <c r="J99" i="3"/>
  <c r="D97" i="2" s="1"/>
  <c r="J100" i="3"/>
  <c r="D98" i="2" s="1"/>
  <c r="J101" i="3"/>
  <c r="D99" i="2" s="1"/>
  <c r="J102" i="3"/>
  <c r="D100" i="2" s="1"/>
  <c r="J103" i="3"/>
  <c r="D101" i="2" s="1"/>
  <c r="G5" i="3"/>
  <c r="J5" i="3"/>
  <c r="D3" i="2" s="1"/>
  <c r="A5" i="3" a="1"/>
  <c r="A5" i="3" s="1"/>
  <c r="A3" i="2" a="1"/>
  <c r="BZ101" i="2" l="1"/>
  <c r="BZ97" i="2"/>
  <c r="BZ93" i="2"/>
  <c r="BZ89" i="2"/>
  <c r="BZ85" i="2"/>
  <c r="BZ81" i="2"/>
  <c r="BZ77" i="2"/>
  <c r="BZ73" i="2"/>
  <c r="BZ69" i="2"/>
  <c r="BZ65" i="2"/>
  <c r="BZ61" i="2"/>
  <c r="BZ57" i="2"/>
  <c r="BZ53" i="2"/>
  <c r="BZ49" i="2"/>
  <c r="BZ45" i="2"/>
  <c r="BZ41" i="2"/>
  <c r="BZ37" i="2"/>
  <c r="BZ33" i="2"/>
  <c r="BZ29" i="2"/>
  <c r="BZ21" i="2"/>
  <c r="BZ17" i="2"/>
  <c r="BZ13" i="2"/>
  <c r="BY100" i="2"/>
  <c r="BY84" i="2"/>
  <c r="BY72" i="2"/>
  <c r="BY60" i="2"/>
  <c r="BY44" i="2"/>
  <c r="BY32" i="2"/>
  <c r="BY20" i="2"/>
  <c r="BY8" i="2"/>
  <c r="BZ100" i="2"/>
  <c r="BZ96" i="2"/>
  <c r="BZ92" i="2"/>
  <c r="BZ88" i="2"/>
  <c r="BZ84" i="2"/>
  <c r="BZ80" i="2"/>
  <c r="BZ76" i="2"/>
  <c r="BZ72" i="2"/>
  <c r="BZ68" i="2"/>
  <c r="BZ64" i="2"/>
  <c r="BZ60" i="2"/>
  <c r="BZ56" i="2"/>
  <c r="BZ52" i="2"/>
  <c r="BZ48" i="2"/>
  <c r="BZ44" i="2"/>
  <c r="BZ40" i="2"/>
  <c r="BZ36" i="2"/>
  <c r="BZ32" i="2"/>
  <c r="BZ28" i="2"/>
  <c r="BZ24" i="2"/>
  <c r="BZ20" i="2"/>
  <c r="BZ16" i="2"/>
  <c r="BZ12" i="2"/>
  <c r="BZ8" i="2"/>
  <c r="BZ4" i="2"/>
  <c r="BY99" i="2"/>
  <c r="BY95" i="2"/>
  <c r="BY91" i="2"/>
  <c r="BY87" i="2"/>
  <c r="BY83" i="2"/>
  <c r="BY79" i="2"/>
  <c r="BY75" i="2"/>
  <c r="BY71" i="2"/>
  <c r="BY67" i="2"/>
  <c r="BY63" i="2"/>
  <c r="BY59" i="2"/>
  <c r="BY55" i="2"/>
  <c r="BY51" i="2"/>
  <c r="BY47" i="2"/>
  <c r="BY43" i="2"/>
  <c r="BY39" i="2"/>
  <c r="BY35" i="2"/>
  <c r="BY31" i="2"/>
  <c r="BY27" i="2"/>
  <c r="BY23" i="2"/>
  <c r="BY19" i="2"/>
  <c r="BY15" i="2"/>
  <c r="BY11" i="2"/>
  <c r="BY7" i="2"/>
  <c r="BY3" i="2"/>
  <c r="BZ99" i="2"/>
  <c r="BZ95" i="2"/>
  <c r="BZ91" i="2"/>
  <c r="BZ87" i="2"/>
  <c r="BZ83" i="2"/>
  <c r="BZ79" i="2"/>
  <c r="BZ75" i="2"/>
  <c r="BZ71" i="2"/>
  <c r="BZ67" i="2"/>
  <c r="BZ63" i="2"/>
  <c r="BZ59" i="2"/>
  <c r="BZ55" i="2"/>
  <c r="BZ51" i="2"/>
  <c r="BZ47" i="2"/>
  <c r="BZ43" i="2"/>
  <c r="BZ39" i="2"/>
  <c r="BZ35" i="2"/>
  <c r="BZ31" i="2"/>
  <c r="BZ27" i="2"/>
  <c r="BZ23" i="2"/>
  <c r="BZ19" i="2"/>
  <c r="BZ15" i="2"/>
  <c r="BZ11" i="2"/>
  <c r="BZ7" i="2"/>
  <c r="BZ3" i="2"/>
  <c r="BY98" i="2"/>
  <c r="BY94" i="2"/>
  <c r="BY90" i="2"/>
  <c r="BY86" i="2"/>
  <c r="BY82" i="2"/>
  <c r="BY78" i="2"/>
  <c r="BY74" i="2"/>
  <c r="BY70" i="2"/>
  <c r="BY66" i="2"/>
  <c r="BY62" i="2"/>
  <c r="BY58" i="2"/>
  <c r="BY54" i="2"/>
  <c r="BY50" i="2"/>
  <c r="BY46" i="2"/>
  <c r="BY42" i="2"/>
  <c r="BY38" i="2"/>
  <c r="BY34" i="2"/>
  <c r="BY30" i="2"/>
  <c r="BY26" i="2"/>
  <c r="BY22" i="2"/>
  <c r="BY18" i="2"/>
  <c r="BY14" i="2"/>
  <c r="BY10" i="2"/>
  <c r="BY6" i="2"/>
  <c r="BV11" i="2"/>
  <c r="BZ98" i="2"/>
  <c r="BZ94" i="2"/>
  <c r="BZ90" i="2"/>
  <c r="BZ86" i="2"/>
  <c r="BZ82" i="2"/>
  <c r="BZ78" i="2"/>
  <c r="BZ74" i="2"/>
  <c r="BZ70" i="2"/>
  <c r="BZ66" i="2"/>
  <c r="BZ62" i="2"/>
  <c r="BZ58" i="2"/>
  <c r="BZ54" i="2"/>
  <c r="BZ50" i="2"/>
  <c r="BZ46" i="2"/>
  <c r="BZ42" i="2"/>
  <c r="BZ38" i="2"/>
  <c r="BZ34" i="2"/>
  <c r="BZ30" i="2"/>
  <c r="BZ26" i="2"/>
  <c r="BZ22" i="2"/>
  <c r="BZ18" i="2"/>
  <c r="BZ14" i="2"/>
  <c r="BZ10" i="2"/>
  <c r="BZ6" i="2"/>
  <c r="BY101" i="2"/>
  <c r="BY97" i="2"/>
  <c r="BY93" i="2"/>
  <c r="BY89" i="2"/>
  <c r="BY85" i="2"/>
  <c r="BY81" i="2"/>
  <c r="BY77" i="2"/>
  <c r="BY73" i="2"/>
  <c r="BY69" i="2"/>
  <c r="BY65" i="2"/>
  <c r="BY61" i="2"/>
  <c r="BY57" i="2"/>
  <c r="BY53" i="2"/>
  <c r="BY49" i="2"/>
  <c r="BY45" i="2"/>
  <c r="BY41" i="2"/>
  <c r="BY37" i="2"/>
  <c r="BY33" i="2"/>
  <c r="BY29" i="2"/>
  <c r="BY25" i="2"/>
  <c r="BY21" i="2"/>
  <c r="BY17" i="2"/>
  <c r="BY13" i="2"/>
  <c r="BY9" i="2"/>
  <c r="BY5" i="2"/>
  <c r="BZ25" i="2"/>
  <c r="BZ9" i="2"/>
  <c r="BZ5" i="2"/>
  <c r="BY96" i="2"/>
  <c r="BY92" i="2"/>
  <c r="BY88" i="2"/>
  <c r="BY80" i="2"/>
  <c r="BY76" i="2"/>
  <c r="BY68" i="2"/>
  <c r="BY64" i="2"/>
  <c r="BY56" i="2"/>
  <c r="BY52" i="2"/>
  <c r="BY48" i="2"/>
  <c r="BY40" i="2"/>
  <c r="BY36" i="2"/>
  <c r="BY28" i="2"/>
  <c r="BY24" i="2"/>
  <c r="BY16" i="2"/>
  <c r="BY12" i="2"/>
  <c r="BY4" i="2"/>
  <c r="BT9" i="2" a="1"/>
  <c r="BT9" i="2" s="1"/>
  <c r="BT14" i="2" a="1"/>
  <c r="BT14" i="2" s="1"/>
  <c r="BT17" i="2" a="1"/>
  <c r="BT17" i="2" s="1"/>
  <c r="BT22" i="2" a="1"/>
  <c r="BT22" i="2" s="1"/>
  <c r="BT25" i="2" a="1"/>
  <c r="BT25" i="2" s="1"/>
  <c r="BT30" i="2" a="1"/>
  <c r="BT30" i="2" s="1"/>
  <c r="BT33" i="2" a="1"/>
  <c r="BT33" i="2" s="1"/>
  <c r="BT38" i="2" a="1"/>
  <c r="BT38" i="2" s="1"/>
  <c r="BT41" i="2" a="1"/>
  <c r="BT41" i="2" s="1"/>
  <c r="BT46" i="2" a="1"/>
  <c r="BT46" i="2" s="1"/>
  <c r="BT49" i="2" a="1"/>
  <c r="BT49" i="2" s="1"/>
  <c r="BT54" i="2" a="1"/>
  <c r="BT54" i="2" s="1"/>
  <c r="BT57" i="2" a="1"/>
  <c r="BT57" i="2" s="1"/>
  <c r="BT62" i="2" a="1"/>
  <c r="BT62" i="2" s="1"/>
  <c r="BT65" i="2" a="1"/>
  <c r="BT65" i="2" s="1"/>
  <c r="BT70" i="2" a="1"/>
  <c r="BT70" i="2" s="1"/>
  <c r="BT73" i="2" a="1"/>
  <c r="BT73" i="2" s="1"/>
  <c r="BT78" i="2" a="1"/>
  <c r="BT78" i="2" s="1"/>
  <c r="BT81" i="2" a="1"/>
  <c r="BT81" i="2" s="1"/>
  <c r="BT86" i="2" a="1"/>
  <c r="BT86" i="2" s="1"/>
  <c r="BT89" i="2" a="1"/>
  <c r="BT89" i="2" s="1"/>
  <c r="BT94" i="2" a="1"/>
  <c r="BT94" i="2" s="1"/>
  <c r="BT97" i="2" a="1"/>
  <c r="BT97" i="2" s="1"/>
  <c r="BT7" i="2" a="1"/>
  <c r="BT7" i="2" s="1"/>
  <c r="BT12" i="2" a="1"/>
  <c r="BT12" i="2" s="1"/>
  <c r="BT15" i="2" a="1"/>
  <c r="BT15" i="2" s="1"/>
  <c r="BT20" i="2" a="1"/>
  <c r="BT20" i="2" s="1"/>
  <c r="BT23" i="2" a="1"/>
  <c r="BT23" i="2" s="1"/>
  <c r="BT28" i="2" a="1"/>
  <c r="BT28" i="2" s="1"/>
  <c r="BT31" i="2" a="1"/>
  <c r="BT31" i="2" s="1"/>
  <c r="BT36" i="2" a="1"/>
  <c r="BT36" i="2" s="1"/>
  <c r="BT39" i="2" a="1"/>
  <c r="BT39" i="2" s="1"/>
  <c r="BT44" i="2" a="1"/>
  <c r="BT44" i="2" s="1"/>
  <c r="BT47" i="2" a="1"/>
  <c r="BT47" i="2" s="1"/>
  <c r="BT52" i="2" a="1"/>
  <c r="BT52" i="2" s="1"/>
  <c r="BT55" i="2" a="1"/>
  <c r="BT55" i="2" s="1"/>
  <c r="BT60" i="2" a="1"/>
  <c r="BT60" i="2" s="1"/>
  <c r="BT63" i="2" a="1"/>
  <c r="BT63" i="2" s="1"/>
  <c r="BT68" i="2" a="1"/>
  <c r="BT68" i="2" s="1"/>
  <c r="BT71" i="2" a="1"/>
  <c r="BT71" i="2" s="1"/>
  <c r="BT76" i="2" a="1"/>
  <c r="BT76" i="2" s="1"/>
  <c r="BT79" i="2" a="1"/>
  <c r="BT79" i="2" s="1"/>
  <c r="BT84" i="2" a="1"/>
  <c r="BT84" i="2" s="1"/>
  <c r="BT87" i="2" a="1"/>
  <c r="BT87" i="2" s="1"/>
  <c r="BT92" i="2" a="1"/>
  <c r="BT92" i="2" s="1"/>
  <c r="BT95" i="2" a="1"/>
  <c r="BT95" i="2" s="1"/>
  <c r="BT100" i="2" a="1"/>
  <c r="BT100" i="2" s="1"/>
  <c r="BT10" i="2" a="1"/>
  <c r="BT10" i="2" s="1"/>
  <c r="BT13" i="2" a="1"/>
  <c r="BT13" i="2" s="1"/>
  <c r="BT18" i="2" a="1"/>
  <c r="BT18" i="2" s="1"/>
  <c r="BT21" i="2" a="1"/>
  <c r="BT21" i="2" s="1"/>
  <c r="BT26" i="2" a="1"/>
  <c r="BT26" i="2" s="1"/>
  <c r="BT29" i="2" a="1"/>
  <c r="BT29" i="2" s="1"/>
  <c r="BT34" i="2" a="1"/>
  <c r="BT34" i="2" s="1"/>
  <c r="BT37" i="2" a="1"/>
  <c r="BT37" i="2" s="1"/>
  <c r="BT42" i="2" a="1"/>
  <c r="BT42" i="2" s="1"/>
  <c r="BT45" i="2" a="1"/>
  <c r="BT45" i="2" s="1"/>
  <c r="BT50" i="2" a="1"/>
  <c r="BT50" i="2" s="1"/>
  <c r="BT53" i="2" a="1"/>
  <c r="BT53" i="2" s="1"/>
  <c r="BT58" i="2" a="1"/>
  <c r="BT58" i="2" s="1"/>
  <c r="BT61" i="2" a="1"/>
  <c r="BT61" i="2" s="1"/>
  <c r="BT66" i="2" a="1"/>
  <c r="BT66" i="2" s="1"/>
  <c r="BT69" i="2" a="1"/>
  <c r="BT69" i="2" s="1"/>
  <c r="BT74" i="2" a="1"/>
  <c r="BT74" i="2" s="1"/>
  <c r="BT77" i="2" a="1"/>
  <c r="BT77" i="2" s="1"/>
  <c r="BT82" i="2" a="1"/>
  <c r="BT82" i="2" s="1"/>
  <c r="BT85" i="2" a="1"/>
  <c r="BT85" i="2" s="1"/>
  <c r="BT90" i="2" a="1"/>
  <c r="BT90" i="2" s="1"/>
  <c r="BT93" i="2" a="1"/>
  <c r="BT93" i="2" s="1"/>
  <c r="BT98" i="2" a="1"/>
  <c r="BT98" i="2" s="1"/>
  <c r="BT101" i="2" a="1"/>
  <c r="BT101" i="2" s="1"/>
  <c r="BT8" i="2" a="1"/>
  <c r="BT8" i="2" s="1"/>
  <c r="BT11" i="2" a="1"/>
  <c r="BT11" i="2" s="1"/>
  <c r="BT16" i="2" a="1"/>
  <c r="BT16" i="2" s="1"/>
  <c r="BT19" i="2" a="1"/>
  <c r="BT19" i="2" s="1"/>
  <c r="BT24" i="2" a="1"/>
  <c r="BT24" i="2" s="1"/>
  <c r="BT27" i="2" a="1"/>
  <c r="BT27" i="2" s="1"/>
  <c r="BT32" i="2" a="1"/>
  <c r="BT32" i="2" s="1"/>
  <c r="BT35" i="2" a="1"/>
  <c r="BT35" i="2" s="1"/>
  <c r="BT40" i="2" a="1"/>
  <c r="BT40" i="2" s="1"/>
  <c r="BT43" i="2" a="1"/>
  <c r="BT43" i="2" s="1"/>
  <c r="BT48" i="2" a="1"/>
  <c r="BT48" i="2" s="1"/>
  <c r="BT51" i="2" a="1"/>
  <c r="BT51" i="2" s="1"/>
  <c r="BT56" i="2" a="1"/>
  <c r="BT56" i="2" s="1"/>
  <c r="BT59" i="2" a="1"/>
  <c r="BT59" i="2" s="1"/>
  <c r="BT64" i="2" a="1"/>
  <c r="BT64" i="2" s="1"/>
  <c r="BT67" i="2" a="1"/>
  <c r="BT67" i="2" s="1"/>
  <c r="BT72" i="2" a="1"/>
  <c r="BT72" i="2" s="1"/>
  <c r="BT75" i="2" a="1"/>
  <c r="BT75" i="2" s="1"/>
  <c r="BT80" i="2" a="1"/>
  <c r="BT80" i="2" s="1"/>
  <c r="BT83" i="2" a="1"/>
  <c r="BT83" i="2" s="1"/>
  <c r="BT88" i="2" a="1"/>
  <c r="BT88" i="2" s="1"/>
  <c r="BT91" i="2" a="1"/>
  <c r="BT91" i="2" s="1"/>
  <c r="BT96" i="2" a="1"/>
  <c r="BT96" i="2" s="1"/>
  <c r="BT99" i="2" a="1"/>
  <c r="BT99" i="2" s="1"/>
  <c r="BN8" i="2"/>
  <c r="BN12" i="2"/>
  <c r="BO12" i="2" s="1"/>
  <c r="BN16" i="2"/>
  <c r="BN20" i="2"/>
  <c r="BN24" i="2"/>
  <c r="BN28" i="2"/>
  <c r="BN32" i="2"/>
  <c r="BN36" i="2"/>
  <c r="BN40" i="2"/>
  <c r="BN44" i="2"/>
  <c r="BN48" i="2"/>
  <c r="BN52" i="2"/>
  <c r="BN56" i="2"/>
  <c r="BN60" i="2"/>
  <c r="BN64" i="2"/>
  <c r="BN68" i="2"/>
  <c r="BN72" i="2"/>
  <c r="BN76" i="2"/>
  <c r="BN80" i="2"/>
  <c r="BN84" i="2"/>
  <c r="BN88" i="2"/>
  <c r="BN92" i="2"/>
  <c r="BN96" i="2"/>
  <c r="BN100" i="2"/>
  <c r="BN9" i="2"/>
  <c r="BN13" i="2"/>
  <c r="BN17" i="2"/>
  <c r="BN21" i="2"/>
  <c r="BO21" i="2" s="1"/>
  <c r="BN25" i="2"/>
  <c r="BO25" i="2" s="1"/>
  <c r="BN29" i="2"/>
  <c r="BN33" i="2"/>
  <c r="BN37" i="2"/>
  <c r="BN41" i="2"/>
  <c r="BO41" i="2" s="1"/>
  <c r="BN45" i="2"/>
  <c r="BN49" i="2"/>
  <c r="BN53" i="2"/>
  <c r="BN57" i="2"/>
  <c r="BN61" i="2"/>
  <c r="BN65" i="2"/>
  <c r="BO65" i="2" s="1"/>
  <c r="BN69" i="2"/>
  <c r="BN73" i="2"/>
  <c r="BN77" i="2"/>
  <c r="BN81" i="2"/>
  <c r="BN85" i="2"/>
  <c r="BN89" i="2"/>
  <c r="BN93" i="2"/>
  <c r="BO93" i="2" s="1"/>
  <c r="BN97" i="2"/>
  <c r="BN101" i="2"/>
  <c r="BO101" i="2" s="1"/>
  <c r="BN10" i="2"/>
  <c r="BN14" i="2"/>
  <c r="BN18" i="2"/>
  <c r="BN22" i="2"/>
  <c r="BN26" i="2"/>
  <c r="BN30" i="2"/>
  <c r="BN38" i="2"/>
  <c r="BN42" i="2"/>
  <c r="BN46" i="2"/>
  <c r="BN50" i="2"/>
  <c r="BN54" i="2"/>
  <c r="BN58" i="2"/>
  <c r="BN62" i="2"/>
  <c r="BN66" i="2"/>
  <c r="BN70" i="2"/>
  <c r="BN74" i="2"/>
  <c r="BN78" i="2"/>
  <c r="BN82" i="2"/>
  <c r="BN86" i="2"/>
  <c r="BN90" i="2"/>
  <c r="BN94" i="2"/>
  <c r="BN98" i="2"/>
  <c r="BN34" i="2"/>
  <c r="BN7" i="2"/>
  <c r="BN11" i="2"/>
  <c r="BN15" i="2"/>
  <c r="BN19" i="2"/>
  <c r="BN23" i="2"/>
  <c r="BN27" i="2"/>
  <c r="BN31" i="2"/>
  <c r="BN35" i="2"/>
  <c r="BN39" i="2"/>
  <c r="BN43" i="2"/>
  <c r="BN47" i="2"/>
  <c r="BN51" i="2"/>
  <c r="BN55" i="2"/>
  <c r="BN59" i="2"/>
  <c r="BO59" i="2" s="1"/>
  <c r="BN63" i="2"/>
  <c r="BN67" i="2"/>
  <c r="BN71" i="2"/>
  <c r="BO71" i="2" s="1"/>
  <c r="BN75" i="2"/>
  <c r="BN79" i="2"/>
  <c r="BN83" i="2"/>
  <c r="BN87" i="2"/>
  <c r="BN91" i="2"/>
  <c r="BO91" i="2" s="1"/>
  <c r="BN95" i="2"/>
  <c r="BN99" i="2"/>
  <c r="BU11" i="2"/>
  <c r="BI51" i="2"/>
  <c r="BJ51" i="2" s="1" a="1"/>
  <c r="BJ51" i="2" s="1"/>
  <c r="Z72" i="2"/>
  <c r="AA72" i="2" s="1" a="1"/>
  <c r="AA72" i="2" s="1"/>
  <c r="BI79" i="2"/>
  <c r="BL79" i="2" s="1" a="1"/>
  <c r="BL79" i="2" s="1"/>
  <c r="BI70" i="2"/>
  <c r="BL70" i="2" s="1" a="1"/>
  <c r="BL70" i="2" s="1"/>
  <c r="AU100" i="2"/>
  <c r="AV100" i="2" s="1" a="1"/>
  <c r="AV100" i="2" s="1"/>
  <c r="AU96" i="2"/>
  <c r="AX96" i="2" s="1" a="1"/>
  <c r="AX96" i="2" s="1"/>
  <c r="AU66" i="2"/>
  <c r="AX66" i="2" s="1" a="1"/>
  <c r="AX66" i="2" s="1"/>
  <c r="AN29" i="2"/>
  <c r="AQ29" i="2" s="1" a="1"/>
  <c r="AQ29" i="2" s="1"/>
  <c r="AG70" i="2"/>
  <c r="AH70" i="2" s="1" a="1"/>
  <c r="AH70" i="2" s="1"/>
  <c r="Z16" i="2"/>
  <c r="AA16" i="2" s="1" a="1"/>
  <c r="AA16" i="2" s="1"/>
  <c r="S95" i="2"/>
  <c r="V95" i="2" s="1" a="1"/>
  <c r="V95" i="2" s="1"/>
  <c r="S59" i="2"/>
  <c r="V59" i="2" s="1" a="1"/>
  <c r="V59" i="2" s="1"/>
  <c r="S45" i="2"/>
  <c r="V45" i="2" s="1" a="1"/>
  <c r="V45" i="2" s="1"/>
  <c r="S35" i="2"/>
  <c r="T35" i="2" s="1" a="1"/>
  <c r="T35" i="2" s="1"/>
  <c r="S14" i="2"/>
  <c r="T14" i="2" s="1" a="1"/>
  <c r="T14" i="2" s="1"/>
  <c r="S4" i="2"/>
  <c r="T4" i="2" s="1" a="1"/>
  <c r="L66" i="2"/>
  <c r="M66" i="2" s="1" a="1"/>
  <c r="M66" i="2" s="1"/>
  <c r="E43" i="2"/>
  <c r="H43" i="2" s="1" a="1"/>
  <c r="H43" i="2" s="1"/>
  <c r="E18" i="2"/>
  <c r="H18" i="2" s="1" a="1"/>
  <c r="H18" i="2" s="1"/>
  <c r="BI96" i="2"/>
  <c r="BL96" i="2" s="1" a="1"/>
  <c r="BL96" i="2" s="1"/>
  <c r="BI94" i="2"/>
  <c r="BL94" i="2" s="1" a="1"/>
  <c r="BL94" i="2" s="1"/>
  <c r="BI92" i="2"/>
  <c r="BJ92" i="2" s="1" a="1"/>
  <c r="BJ92" i="2" s="1"/>
  <c r="BI91" i="2"/>
  <c r="BL91" i="2" s="1" a="1"/>
  <c r="BL91" i="2" s="1"/>
  <c r="BI90" i="2"/>
  <c r="BL90" i="2" s="1" a="1"/>
  <c r="BL90" i="2" s="1"/>
  <c r="BI86" i="2"/>
  <c r="BL86" i="2" s="1" a="1"/>
  <c r="BL86" i="2" s="1"/>
  <c r="BI84" i="2"/>
  <c r="BJ84" i="2" s="1" a="1"/>
  <c r="BJ84" i="2" s="1"/>
  <c r="BI82" i="2"/>
  <c r="BL82" i="2" s="1" a="1"/>
  <c r="BL82" i="2" s="1"/>
  <c r="BI80" i="2"/>
  <c r="BL80" i="2" s="1" a="1"/>
  <c r="BL80" i="2" s="1"/>
  <c r="BI78" i="2"/>
  <c r="BL78" i="2" s="1" a="1"/>
  <c r="BL78" i="2" s="1"/>
  <c r="BI76" i="2"/>
  <c r="BJ76" i="2" s="1" a="1"/>
  <c r="BJ76" i="2" s="1"/>
  <c r="BI74" i="2"/>
  <c r="BL74" i="2" s="1" a="1"/>
  <c r="BL74" i="2" s="1"/>
  <c r="BI72" i="2"/>
  <c r="BJ72" i="2" s="1" a="1"/>
  <c r="BJ72" i="2" s="1"/>
  <c r="BI66" i="2"/>
  <c r="BJ66" i="2" s="1" a="1"/>
  <c r="BJ66" i="2" s="1"/>
  <c r="BI64" i="2"/>
  <c r="BJ64" i="2" s="1" a="1"/>
  <c r="BJ64" i="2" s="1"/>
  <c r="BI13" i="2"/>
  <c r="BJ13" i="2" s="1" a="1"/>
  <c r="BJ13" i="2" s="1"/>
  <c r="BI10" i="2"/>
  <c r="BL10" i="2" s="1" a="1"/>
  <c r="BL10" i="2" s="1"/>
  <c r="BB5" i="2"/>
  <c r="BE5" i="2" s="1" a="1"/>
  <c r="BE5" i="2" s="1"/>
  <c r="AU98" i="2"/>
  <c r="AV98" i="2" s="1" a="1"/>
  <c r="AV98" i="2" s="1"/>
  <c r="AU94" i="2"/>
  <c r="AV94" i="2" s="1" a="1"/>
  <c r="AV94" i="2" s="1"/>
  <c r="AU92" i="2"/>
  <c r="AV92" i="2" s="1" a="1"/>
  <c r="AV92" i="2" s="1"/>
  <c r="AU90" i="2"/>
  <c r="AV90" i="2" s="1" a="1"/>
  <c r="AV90" i="2" s="1"/>
  <c r="AU88" i="2"/>
  <c r="AV88" i="2" s="1" a="1"/>
  <c r="AV88" i="2" s="1"/>
  <c r="AU86" i="2"/>
  <c r="AX86" i="2" s="1" a="1"/>
  <c r="AX86" i="2" s="1"/>
  <c r="AU84" i="2"/>
  <c r="AV84" i="2" s="1" a="1"/>
  <c r="AV84" i="2" s="1"/>
  <c r="AU82" i="2"/>
  <c r="AV82" i="2" s="1" a="1"/>
  <c r="AV82" i="2" s="1"/>
  <c r="AU80" i="2"/>
  <c r="AV80" i="2" s="1" a="1"/>
  <c r="AV80" i="2" s="1"/>
  <c r="AU78" i="2"/>
  <c r="AX78" i="2" s="1" a="1"/>
  <c r="AX78" i="2" s="1"/>
  <c r="AU76" i="2"/>
  <c r="AX76" i="2" s="1" a="1"/>
  <c r="AX76" i="2" s="1"/>
  <c r="AU72" i="2"/>
  <c r="AX72" i="2" s="1" a="1"/>
  <c r="AX72" i="2" s="1"/>
  <c r="AU64" i="2"/>
  <c r="AV64" i="2" s="1" a="1"/>
  <c r="AV64" i="2" s="1"/>
  <c r="AU62" i="2"/>
  <c r="AV62" i="2" s="1" a="1"/>
  <c r="AV62" i="2" s="1"/>
  <c r="AU60" i="2"/>
  <c r="AX60" i="2" s="1" a="1"/>
  <c r="AX60" i="2" s="1"/>
  <c r="AU52" i="2"/>
  <c r="AX52" i="2" s="1" a="1"/>
  <c r="AX52" i="2" s="1"/>
  <c r="AU50" i="2"/>
  <c r="AX50" i="2" s="1" a="1"/>
  <c r="AX50" i="2" s="1"/>
  <c r="AU4" i="2"/>
  <c r="AV4" i="2" s="1" a="1"/>
  <c r="AV4" i="2" s="1"/>
  <c r="AN68" i="2"/>
  <c r="AQ68" i="2" s="1" a="1"/>
  <c r="AQ68" i="2" s="1"/>
  <c r="AN61" i="2"/>
  <c r="AO61" i="2" s="1" a="1"/>
  <c r="AO61" i="2" s="1"/>
  <c r="AN51" i="2"/>
  <c r="AQ51" i="2" s="1" a="1"/>
  <c r="AQ51" i="2" s="1"/>
  <c r="AN49" i="2"/>
  <c r="AQ49" i="2" s="1" a="1"/>
  <c r="AQ49" i="2" s="1"/>
  <c r="AN47" i="2"/>
  <c r="AO47" i="2" s="1" a="1"/>
  <c r="AO47" i="2" s="1"/>
  <c r="AN44" i="2"/>
  <c r="AO44" i="2" s="1" a="1"/>
  <c r="AO44" i="2" s="1"/>
  <c r="AN19" i="2"/>
  <c r="AO19" i="2" s="1" a="1"/>
  <c r="AO19" i="2" s="1"/>
  <c r="AN12" i="2"/>
  <c r="AO12" i="2" s="1" a="1"/>
  <c r="AO12" i="2" s="1"/>
  <c r="AN10" i="2"/>
  <c r="AO10" i="2" s="1" a="1"/>
  <c r="AO10" i="2" s="1"/>
  <c r="AN7" i="2"/>
  <c r="AQ7" i="2" s="1" a="1"/>
  <c r="AQ7" i="2" s="1"/>
  <c r="AN6" i="2"/>
  <c r="AO6" i="2" s="1" a="1"/>
  <c r="AO6" i="2" s="1"/>
  <c r="AG13" i="2"/>
  <c r="AJ13" i="2" s="1" a="1"/>
  <c r="AJ13" i="2" s="1"/>
  <c r="AG11" i="2"/>
  <c r="AH11" i="2" s="1" a="1"/>
  <c r="AH11" i="2" s="1"/>
  <c r="AG8" i="2"/>
  <c r="AH8" i="2" s="1" a="1"/>
  <c r="AH8" i="2" s="1"/>
  <c r="AG6" i="2"/>
  <c r="AH6" i="2" s="1" a="1"/>
  <c r="AH6" i="2" s="1"/>
  <c r="AG5" i="2"/>
  <c r="AH5" i="2" s="1" a="1"/>
  <c r="AH5" i="2" s="1"/>
  <c r="Z63" i="2"/>
  <c r="AC63" i="2" s="1" a="1"/>
  <c r="AC63" i="2" s="1"/>
  <c r="Z57" i="2"/>
  <c r="AA57" i="2" s="1" a="1"/>
  <c r="AA57" i="2" s="1"/>
  <c r="Z53" i="2"/>
  <c r="AC53" i="2" s="1" a="1"/>
  <c r="AC53" i="2" s="1"/>
  <c r="Z32" i="2"/>
  <c r="AA32" i="2" s="1" a="1"/>
  <c r="AA32" i="2" s="1"/>
  <c r="Z24" i="2"/>
  <c r="AC24" i="2" s="1" a="1"/>
  <c r="AC24" i="2" s="1"/>
  <c r="S72" i="2"/>
  <c r="T72" i="2" s="1" a="1"/>
  <c r="T72" i="2" s="1"/>
  <c r="S60" i="2"/>
  <c r="V60" i="2" s="1" a="1"/>
  <c r="V60" i="2" s="1"/>
  <c r="S58" i="2"/>
  <c r="T58" i="2" s="1" a="1"/>
  <c r="T58" i="2" s="1"/>
  <c r="S56" i="2"/>
  <c r="T56" i="2" s="1" a="1"/>
  <c r="T56" i="2" s="1"/>
  <c r="S54" i="2"/>
  <c r="V54" i="2" s="1" a="1"/>
  <c r="V54" i="2" s="1"/>
  <c r="S43" i="2"/>
  <c r="V43" i="2" s="1" a="1"/>
  <c r="V43" i="2" s="1"/>
  <c r="S38" i="2"/>
  <c r="T38" i="2" s="1" a="1"/>
  <c r="T38" i="2" s="1"/>
  <c r="S27" i="2"/>
  <c r="V27" i="2" s="1" a="1"/>
  <c r="V27" i="2" s="1"/>
  <c r="S24" i="2"/>
  <c r="V24" i="2" s="1" a="1"/>
  <c r="V24" i="2" s="1"/>
  <c r="S22" i="2"/>
  <c r="T22" i="2" s="1" a="1"/>
  <c r="T22" i="2" s="1"/>
  <c r="S20" i="2"/>
  <c r="T20" i="2" s="1" a="1"/>
  <c r="T20" i="2" s="1"/>
  <c r="S19" i="2"/>
  <c r="V19" i="2" s="1" a="1"/>
  <c r="V19" i="2" s="1"/>
  <c r="S16" i="2"/>
  <c r="V16" i="2" s="1" a="1"/>
  <c r="V16" i="2" s="1"/>
  <c r="L97" i="2"/>
  <c r="M97" i="2" s="1" a="1"/>
  <c r="M97" i="2" s="1"/>
  <c r="L69" i="2"/>
  <c r="M69" i="2" s="1" a="1"/>
  <c r="M69" i="2" s="1"/>
  <c r="L62" i="2"/>
  <c r="O62" i="2" s="1" a="1"/>
  <c r="O62" i="2" s="1"/>
  <c r="L37" i="2"/>
  <c r="M37" i="2" s="1" a="1"/>
  <c r="M37" i="2" s="1"/>
  <c r="L31" i="2"/>
  <c r="M31" i="2" s="1" a="1"/>
  <c r="M31" i="2" s="1"/>
  <c r="L29" i="2"/>
  <c r="O29" i="2" s="1" a="1"/>
  <c r="O29" i="2" s="1"/>
  <c r="L15" i="2"/>
  <c r="M15" i="2" s="1" a="1"/>
  <c r="M15" i="2" s="1"/>
  <c r="L7" i="2"/>
  <c r="O7" i="2" s="1" a="1"/>
  <c r="O7" i="2" s="1"/>
  <c r="E99" i="2"/>
  <c r="F99" i="2" s="1" a="1"/>
  <c r="F99" i="2" s="1"/>
  <c r="E94" i="2"/>
  <c r="H94" i="2" s="1" a="1"/>
  <c r="H94" i="2" s="1"/>
  <c r="E91" i="2"/>
  <c r="F91" i="2" s="1" a="1"/>
  <c r="F91" i="2" s="1"/>
  <c r="E83" i="2"/>
  <c r="H83" i="2" s="1" a="1"/>
  <c r="H83" i="2" s="1"/>
  <c r="E74" i="2"/>
  <c r="H74" i="2" s="1" a="1"/>
  <c r="H74" i="2" s="1"/>
  <c r="E66" i="2"/>
  <c r="F66" i="2" s="1" a="1"/>
  <c r="F66" i="2" s="1"/>
  <c r="E59" i="2"/>
  <c r="F59" i="2" s="1" a="1"/>
  <c r="F59" i="2" s="1"/>
  <c r="E51" i="2"/>
  <c r="H51" i="2" s="1" a="1"/>
  <c r="H51" i="2" s="1"/>
  <c r="E27" i="2"/>
  <c r="F27" i="2" s="1" a="1"/>
  <c r="F27" i="2" s="1"/>
  <c r="E16" i="2"/>
  <c r="F16" i="2" s="1" a="1"/>
  <c r="F16" i="2" s="1"/>
  <c r="E12" i="2"/>
  <c r="H12" i="2" s="1" a="1"/>
  <c r="H12" i="2" s="1"/>
  <c r="E11" i="2"/>
  <c r="H11" i="2" s="1" a="1"/>
  <c r="H11" i="2" s="1"/>
  <c r="E6" i="2"/>
  <c r="F6" i="2" s="1" a="1"/>
  <c r="BI101" i="2"/>
  <c r="BL101" i="2" s="1" a="1"/>
  <c r="BL101" i="2" s="1"/>
  <c r="K102" i="12"/>
  <c r="BG100" i="2"/>
  <c r="BI100" i="2" s="1"/>
  <c r="BI99" i="2"/>
  <c r="BL99" i="2" s="1" a="1"/>
  <c r="BL99" i="2" s="1"/>
  <c r="K100" i="12"/>
  <c r="BG98" i="2"/>
  <c r="BI98" i="2" s="1"/>
  <c r="K99" i="12"/>
  <c r="BG97" i="2"/>
  <c r="BI97" i="2" s="1"/>
  <c r="BI95" i="2"/>
  <c r="BJ95" i="2" s="1" a="1"/>
  <c r="BJ95" i="2" s="1"/>
  <c r="K95" i="12"/>
  <c r="BG93" i="2"/>
  <c r="BI93" i="2" s="1"/>
  <c r="K91" i="12"/>
  <c r="BG89" i="2"/>
  <c r="BI89" i="2" s="1"/>
  <c r="BI88" i="2"/>
  <c r="BJ88" i="2" s="1" a="1"/>
  <c r="BJ88" i="2" s="1"/>
  <c r="BI87" i="2"/>
  <c r="BL87" i="2" s="1" a="1"/>
  <c r="BL87" i="2" s="1"/>
  <c r="K87" i="12"/>
  <c r="BG85" i="2"/>
  <c r="BI85" i="2" s="1"/>
  <c r="BI83" i="2"/>
  <c r="BL83" i="2" s="1" a="1"/>
  <c r="BL83" i="2" s="1"/>
  <c r="K83" i="12"/>
  <c r="BG81" i="2"/>
  <c r="BI81" i="2" s="1"/>
  <c r="K79" i="12"/>
  <c r="BG77" i="2"/>
  <c r="BI77" i="2" s="1"/>
  <c r="BI75" i="2"/>
  <c r="BL75" i="2" s="1" a="1"/>
  <c r="BL75" i="2" s="1"/>
  <c r="K75" i="12"/>
  <c r="BG73" i="2"/>
  <c r="BI73" i="2" s="1"/>
  <c r="BI71" i="2"/>
  <c r="BL71" i="2" s="1" a="1"/>
  <c r="BL71" i="2" s="1"/>
  <c r="K71" i="12"/>
  <c r="BG69" i="2"/>
  <c r="BI69" i="2" s="1"/>
  <c r="BI68" i="2"/>
  <c r="BL68" i="2" s="1" a="1"/>
  <c r="BL68" i="2" s="1"/>
  <c r="BI67" i="2"/>
  <c r="BL67" i="2" s="1" a="1"/>
  <c r="BL67" i="2" s="1"/>
  <c r="K67" i="12"/>
  <c r="BG65" i="2"/>
  <c r="BI65" i="2" s="1"/>
  <c r="K65" i="12"/>
  <c r="BG63" i="2"/>
  <c r="BI63" i="2" s="1"/>
  <c r="K64" i="12"/>
  <c r="BG62" i="2"/>
  <c r="BI62" i="2" s="1"/>
  <c r="K63" i="12"/>
  <c r="BG61" i="2"/>
  <c r="BI61" i="2" s="1"/>
  <c r="K62" i="12"/>
  <c r="BG60" i="2"/>
  <c r="BI60" i="2" s="1"/>
  <c r="BI59" i="2"/>
  <c r="BL59" i="2" s="1" a="1"/>
  <c r="BL59" i="2" s="1"/>
  <c r="BI58" i="2"/>
  <c r="BJ58" i="2" s="1" a="1"/>
  <c r="BJ58" i="2" s="1"/>
  <c r="K60" i="12"/>
  <c r="BI57" i="2"/>
  <c r="BJ57" i="2" s="1" a="1"/>
  <c r="BJ57" i="2" s="1"/>
  <c r="BI56" i="2"/>
  <c r="BL56" i="2" s="1" a="1"/>
  <c r="BL56" i="2" s="1"/>
  <c r="K58" i="12"/>
  <c r="K57" i="12"/>
  <c r="BG55" i="2"/>
  <c r="BI55" i="2" s="1"/>
  <c r="K56" i="12"/>
  <c r="BG54" i="2"/>
  <c r="BI54" i="2" s="1"/>
  <c r="K55" i="12"/>
  <c r="BG53" i="2"/>
  <c r="BI53" i="2" s="1"/>
  <c r="K54" i="12"/>
  <c r="BG52" i="2"/>
  <c r="BI52" i="2" s="1"/>
  <c r="BI50" i="2"/>
  <c r="BJ50" i="2" s="1" a="1"/>
  <c r="BJ50" i="2" s="1"/>
  <c r="K52" i="12"/>
  <c r="BI49" i="2"/>
  <c r="BL49" i="2" s="1" a="1"/>
  <c r="BL49" i="2" s="1"/>
  <c r="BI48" i="2"/>
  <c r="BL48" i="2" s="1" a="1"/>
  <c r="BL48" i="2" s="1"/>
  <c r="K50" i="12"/>
  <c r="K49" i="12"/>
  <c r="BG47" i="2"/>
  <c r="BI47" i="2" s="1"/>
  <c r="K48" i="12"/>
  <c r="BG46" i="2"/>
  <c r="BI46" i="2" s="1"/>
  <c r="K47" i="12"/>
  <c r="BG45" i="2"/>
  <c r="BI45" i="2" s="1"/>
  <c r="BG44" i="2"/>
  <c r="BI44" i="2" s="1"/>
  <c r="K46" i="12"/>
  <c r="K45" i="12"/>
  <c r="BG43" i="2"/>
  <c r="BI43" i="2" s="1"/>
  <c r="BG42" i="2"/>
  <c r="BI42" i="2" s="1"/>
  <c r="K44" i="12"/>
  <c r="K43" i="12"/>
  <c r="BG41" i="2"/>
  <c r="BI41" i="2" s="1"/>
  <c r="BI40" i="2"/>
  <c r="BL40" i="2" s="1" a="1"/>
  <c r="BL40" i="2" s="1"/>
  <c r="K42" i="12"/>
  <c r="K41" i="12"/>
  <c r="BG39" i="2"/>
  <c r="BI39" i="2" s="1"/>
  <c r="BG38" i="2"/>
  <c r="BI38" i="2" s="1"/>
  <c r="K40" i="12"/>
  <c r="K39" i="12"/>
  <c r="BG37" i="2"/>
  <c r="BI37" i="2" s="1"/>
  <c r="BG36" i="2"/>
  <c r="BI36" i="2" s="1"/>
  <c r="K38" i="12"/>
  <c r="K37" i="12"/>
  <c r="BG35" i="2"/>
  <c r="BI35" i="2" s="1"/>
  <c r="BG34" i="2"/>
  <c r="BI34" i="2" s="1"/>
  <c r="K36" i="12"/>
  <c r="K35" i="12"/>
  <c r="BG33" i="2"/>
  <c r="BI33" i="2" s="1"/>
  <c r="BI32" i="2"/>
  <c r="BL32" i="2" s="1" a="1"/>
  <c r="BL32" i="2" s="1"/>
  <c r="K34" i="12"/>
  <c r="K33" i="12"/>
  <c r="BG31" i="2"/>
  <c r="BI31" i="2" s="1"/>
  <c r="BG30" i="2"/>
  <c r="BI30" i="2" s="1"/>
  <c r="K32" i="12"/>
  <c r="K31" i="12"/>
  <c r="BG29" i="2"/>
  <c r="BI29" i="2" s="1"/>
  <c r="BG28" i="2"/>
  <c r="BI28" i="2" s="1"/>
  <c r="K30" i="12"/>
  <c r="K29" i="12"/>
  <c r="BG27" i="2"/>
  <c r="BI27" i="2" s="1"/>
  <c r="BG26" i="2"/>
  <c r="BI26" i="2" s="1"/>
  <c r="K28" i="12"/>
  <c r="K27" i="12"/>
  <c r="BG25" i="2"/>
  <c r="BI25" i="2" s="1"/>
  <c r="BI24" i="2"/>
  <c r="BL24" i="2" s="1" a="1"/>
  <c r="BL24" i="2" s="1"/>
  <c r="K26" i="12"/>
  <c r="K25" i="12"/>
  <c r="BG23" i="2"/>
  <c r="BI23" i="2" s="1"/>
  <c r="BG22" i="2"/>
  <c r="BI22" i="2" s="1"/>
  <c r="K24" i="12"/>
  <c r="K23" i="12"/>
  <c r="BG21" i="2"/>
  <c r="BI21" i="2" s="1"/>
  <c r="BG20" i="2"/>
  <c r="BI20" i="2" s="1"/>
  <c r="K22" i="12"/>
  <c r="K21" i="12"/>
  <c r="BG19" i="2"/>
  <c r="BI19" i="2" s="1"/>
  <c r="BG18" i="2"/>
  <c r="BI18" i="2" s="1"/>
  <c r="K20" i="12"/>
  <c r="K19" i="12"/>
  <c r="BG17" i="2"/>
  <c r="BI17" i="2" s="1"/>
  <c r="BI16" i="2"/>
  <c r="BJ16" i="2" s="1" a="1"/>
  <c r="BJ16" i="2" s="1"/>
  <c r="K18" i="12"/>
  <c r="K17" i="12"/>
  <c r="BG15" i="2"/>
  <c r="BI15" i="2" s="1"/>
  <c r="BG14" i="2"/>
  <c r="BI14" i="2" s="1"/>
  <c r="K16" i="12"/>
  <c r="BI12" i="2"/>
  <c r="BJ12" i="2" s="1" a="1"/>
  <c r="BJ12" i="2" s="1"/>
  <c r="BI11" i="2"/>
  <c r="BL11" i="2" s="1" a="1"/>
  <c r="BL11" i="2" s="1"/>
  <c r="BI9" i="2"/>
  <c r="BL9" i="2" s="1" a="1"/>
  <c r="BL9" i="2" s="1"/>
  <c r="BI8" i="2"/>
  <c r="BL8" i="2" s="1" a="1"/>
  <c r="BL8" i="2" s="1"/>
  <c r="BI7" i="2"/>
  <c r="BL7" i="2" s="1" a="1"/>
  <c r="BL7" i="2" s="1"/>
  <c r="BI6" i="2"/>
  <c r="BJ6" i="2" s="1" a="1"/>
  <c r="BJ6" i="2" s="1"/>
  <c r="BI5" i="2"/>
  <c r="BJ5" i="2" s="1" a="1"/>
  <c r="BJ5" i="2" s="1"/>
  <c r="BI4" i="2"/>
  <c r="BJ4" i="2" s="1" a="1"/>
  <c r="BJ4" i="2" s="1"/>
  <c r="K103" i="10"/>
  <c r="AZ101" i="2"/>
  <c r="BB101" i="2" s="1"/>
  <c r="BB99" i="2"/>
  <c r="BC99" i="2" s="1" a="1"/>
  <c r="BC99" i="2" s="1"/>
  <c r="K102" i="10"/>
  <c r="AZ100" i="2"/>
  <c r="BB100" i="2" s="1"/>
  <c r="K100" i="10"/>
  <c r="AZ98" i="2"/>
  <c r="BB98" i="2" s="1"/>
  <c r="BB97" i="2"/>
  <c r="BE97" i="2" s="1" a="1"/>
  <c r="BE97" i="2" s="1"/>
  <c r="K98" i="10"/>
  <c r="AZ96" i="2"/>
  <c r="BB96" i="2" s="1"/>
  <c r="K97" i="10"/>
  <c r="AZ95" i="2"/>
  <c r="BB95" i="2" s="1"/>
  <c r="K96" i="10"/>
  <c r="AZ94" i="2"/>
  <c r="BB94" i="2" s="1"/>
  <c r="BB93" i="2"/>
  <c r="BE93" i="2" s="1" a="1"/>
  <c r="BE93" i="2" s="1"/>
  <c r="K94" i="10"/>
  <c r="AZ92" i="2"/>
  <c r="BB92" i="2" s="1"/>
  <c r="K93" i="10"/>
  <c r="AZ91" i="2"/>
  <c r="BB91" i="2" s="1"/>
  <c r="BB90" i="2"/>
  <c r="BE90" i="2" s="1" a="1"/>
  <c r="BE90" i="2" s="1"/>
  <c r="BB89" i="2"/>
  <c r="BE89" i="2" s="1" a="1"/>
  <c r="BE89" i="2" s="1"/>
  <c r="K90" i="10"/>
  <c r="AZ88" i="2"/>
  <c r="BB88" i="2" s="1"/>
  <c r="K89" i="10"/>
  <c r="AZ87" i="2"/>
  <c r="BB87" i="2" s="1"/>
  <c r="BB86" i="2"/>
  <c r="BE86" i="2" s="1" a="1"/>
  <c r="BE86" i="2" s="1"/>
  <c r="K87" i="10"/>
  <c r="AZ85" i="2"/>
  <c r="BB85" i="2" s="1"/>
  <c r="K86" i="10"/>
  <c r="AZ84" i="2"/>
  <c r="BB84" i="2" s="1"/>
  <c r="K85" i="10"/>
  <c r="AZ83" i="2"/>
  <c r="BB83" i="2" s="1"/>
  <c r="BB82" i="2"/>
  <c r="BC82" i="2" s="1" a="1"/>
  <c r="BC82" i="2" s="1"/>
  <c r="K83" i="10"/>
  <c r="AZ81" i="2"/>
  <c r="BB81" i="2" s="1"/>
  <c r="K82" i="10"/>
  <c r="AZ80" i="2"/>
  <c r="BB80" i="2" s="1"/>
  <c r="K81" i="10"/>
  <c r="AZ79" i="2"/>
  <c r="BB79" i="2" s="1"/>
  <c r="BB78" i="2"/>
  <c r="BE78" i="2" s="1" a="1"/>
  <c r="BE78" i="2" s="1"/>
  <c r="K79" i="10"/>
  <c r="AZ77" i="2"/>
  <c r="BB77" i="2" s="1"/>
  <c r="K78" i="10"/>
  <c r="AZ76" i="2"/>
  <c r="BB76" i="2" s="1"/>
  <c r="K77" i="10"/>
  <c r="AZ75" i="2"/>
  <c r="BB75" i="2" s="1"/>
  <c r="BB74" i="2"/>
  <c r="BC74" i="2" s="1" a="1"/>
  <c r="BC74" i="2" s="1"/>
  <c r="K75" i="10"/>
  <c r="AZ73" i="2"/>
  <c r="BB73" i="2" s="1"/>
  <c r="BB72" i="2"/>
  <c r="BC72" i="2" s="1" a="1"/>
  <c r="BC72" i="2" s="1"/>
  <c r="K73" i="10"/>
  <c r="AZ71" i="2"/>
  <c r="BB71" i="2" s="1"/>
  <c r="BB70" i="2"/>
  <c r="BE70" i="2" s="1" a="1"/>
  <c r="BE70" i="2" s="1"/>
  <c r="K71" i="10"/>
  <c r="AZ69" i="2"/>
  <c r="BB69" i="2" s="1"/>
  <c r="K70" i="10"/>
  <c r="AZ68" i="2"/>
  <c r="BB68" i="2" s="1"/>
  <c r="K69" i="10"/>
  <c r="AZ67" i="2"/>
  <c r="BB67" i="2" s="1"/>
  <c r="BB66" i="2"/>
  <c r="BE66" i="2" s="1" a="1"/>
  <c r="BE66" i="2" s="1"/>
  <c r="BB65" i="2"/>
  <c r="BC65" i="2" s="1" a="1"/>
  <c r="BC65" i="2" s="1"/>
  <c r="K66" i="10"/>
  <c r="AZ64" i="2"/>
  <c r="BB64" i="2" s="1"/>
  <c r="K65" i="10"/>
  <c r="AZ63" i="2"/>
  <c r="BB63" i="2" s="1"/>
  <c r="BB62" i="2"/>
  <c r="BE62" i="2" s="1" a="1"/>
  <c r="BE62" i="2" s="1"/>
  <c r="K63" i="10"/>
  <c r="AZ61" i="2"/>
  <c r="BB61" i="2" s="1"/>
  <c r="K62" i="10"/>
  <c r="AZ60" i="2"/>
  <c r="BB60" i="2" s="1"/>
  <c r="K61" i="10"/>
  <c r="AZ59" i="2"/>
  <c r="BB59" i="2" s="1"/>
  <c r="BB58" i="2"/>
  <c r="BC58" i="2" s="1" a="1"/>
  <c r="BC58" i="2" s="1"/>
  <c r="K59" i="10"/>
  <c r="AZ57" i="2"/>
  <c r="BB57" i="2" s="1"/>
  <c r="BB56" i="2"/>
  <c r="BC56" i="2" s="1" a="1"/>
  <c r="BC56" i="2" s="1"/>
  <c r="K57" i="10"/>
  <c r="AZ55" i="2"/>
  <c r="BB55" i="2" s="1"/>
  <c r="K56" i="10"/>
  <c r="AZ54" i="2"/>
  <c r="BB54" i="2" s="1"/>
  <c r="K55" i="10"/>
  <c r="AZ53" i="2"/>
  <c r="BB53" i="2" s="1"/>
  <c r="K54" i="10"/>
  <c r="AZ52" i="2"/>
  <c r="BB52" i="2" s="1"/>
  <c r="K53" i="10"/>
  <c r="AZ51" i="2"/>
  <c r="BB51" i="2" s="1"/>
  <c r="BB50" i="2"/>
  <c r="BC50" i="2" s="1" a="1"/>
  <c r="BC50" i="2" s="1"/>
  <c r="K52" i="10"/>
  <c r="K51" i="10"/>
  <c r="AZ49" i="2"/>
  <c r="BB49" i="2" s="1"/>
  <c r="K50" i="10"/>
  <c r="AZ48" i="2"/>
  <c r="BB48" i="2" s="1"/>
  <c r="K49" i="10"/>
  <c r="AZ47" i="2"/>
  <c r="BB47" i="2" s="1"/>
  <c r="K48" i="10"/>
  <c r="AZ46" i="2"/>
  <c r="BB46" i="2" s="1"/>
  <c r="K47" i="10"/>
  <c r="AZ45" i="2"/>
  <c r="BB45" i="2" s="1"/>
  <c r="K46" i="10"/>
  <c r="AZ44" i="2"/>
  <c r="BB44" i="2" s="1"/>
  <c r="K45" i="10"/>
  <c r="AZ43" i="2"/>
  <c r="BB43" i="2" s="1"/>
  <c r="K44" i="10"/>
  <c r="AZ42" i="2"/>
  <c r="BB42" i="2" s="1"/>
  <c r="BB41" i="2"/>
  <c r="BE41" i="2" s="1" a="1"/>
  <c r="BE41" i="2" s="1"/>
  <c r="BB40" i="2"/>
  <c r="BE40" i="2" s="1" a="1"/>
  <c r="BE40" i="2" s="1"/>
  <c r="K42" i="10"/>
  <c r="K41" i="10"/>
  <c r="AZ39" i="2"/>
  <c r="BB39" i="2" s="1"/>
  <c r="BB38" i="2"/>
  <c r="BE38" i="2" s="1" a="1"/>
  <c r="BE38" i="2" s="1"/>
  <c r="K40" i="10"/>
  <c r="K39" i="10"/>
  <c r="AZ37" i="2"/>
  <c r="BB37" i="2" s="1"/>
  <c r="K38" i="10"/>
  <c r="AZ36" i="2"/>
  <c r="BB36" i="2" s="1"/>
  <c r="K37" i="10"/>
  <c r="AZ35" i="2"/>
  <c r="BB35" i="2" s="1"/>
  <c r="K36" i="10"/>
  <c r="AZ34" i="2"/>
  <c r="BB34" i="2" s="1"/>
  <c r="BB33" i="2"/>
  <c r="BE33" i="2" s="1" a="1"/>
  <c r="BE33" i="2" s="1"/>
  <c r="BB32" i="2"/>
  <c r="BC32" i="2" s="1" a="1"/>
  <c r="BC32" i="2" s="1"/>
  <c r="K34" i="10"/>
  <c r="K33" i="10"/>
  <c r="AZ31" i="2"/>
  <c r="BB31" i="2" s="1"/>
  <c r="BB30" i="2"/>
  <c r="BE30" i="2" s="1" a="1"/>
  <c r="BE30" i="2" s="1"/>
  <c r="K32" i="10"/>
  <c r="K31" i="10"/>
  <c r="AZ29" i="2"/>
  <c r="BB29" i="2" s="1"/>
  <c r="K30" i="10"/>
  <c r="AZ28" i="2"/>
  <c r="BB28" i="2" s="1"/>
  <c r="K29" i="10"/>
  <c r="AZ27" i="2"/>
  <c r="BB27" i="2" s="1"/>
  <c r="K28" i="10"/>
  <c r="AZ26" i="2"/>
  <c r="BB26" i="2" s="1"/>
  <c r="BB25" i="2"/>
  <c r="BC25" i="2" s="1" a="1"/>
  <c r="BC25" i="2" s="1"/>
  <c r="BB24" i="2"/>
  <c r="BC24" i="2" s="1" a="1"/>
  <c r="BC24" i="2" s="1"/>
  <c r="K26" i="10"/>
  <c r="K25" i="10"/>
  <c r="AZ23" i="2"/>
  <c r="BB23" i="2" s="1"/>
  <c r="BB22" i="2"/>
  <c r="BE22" i="2" s="1" a="1"/>
  <c r="BE22" i="2" s="1"/>
  <c r="K24" i="10"/>
  <c r="K23" i="10"/>
  <c r="AZ21" i="2"/>
  <c r="BB21" i="2" s="1"/>
  <c r="K22" i="10"/>
  <c r="AZ20" i="2"/>
  <c r="BB20" i="2" s="1"/>
  <c r="K21" i="10"/>
  <c r="AZ19" i="2"/>
  <c r="BB19" i="2" s="1"/>
  <c r="K20" i="10"/>
  <c r="AZ18" i="2"/>
  <c r="BB18" i="2" s="1"/>
  <c r="BB17" i="2"/>
  <c r="BC17" i="2" s="1" a="1"/>
  <c r="BC17" i="2" s="1"/>
  <c r="BB16" i="2"/>
  <c r="BC16" i="2" s="1" a="1"/>
  <c r="BC16" i="2" s="1"/>
  <c r="K18" i="10"/>
  <c r="K17" i="10"/>
  <c r="AZ15" i="2"/>
  <c r="BB15" i="2" s="1"/>
  <c r="BB14" i="2"/>
  <c r="BC14" i="2" s="1" a="1"/>
  <c r="BC14" i="2" s="1"/>
  <c r="K16" i="10"/>
  <c r="K15" i="10"/>
  <c r="AZ13" i="2"/>
  <c r="BB13" i="2" s="1"/>
  <c r="K14" i="10"/>
  <c r="AZ12" i="2"/>
  <c r="BB12" i="2" s="1"/>
  <c r="BB11" i="2"/>
  <c r="BE11" i="2" s="1" a="1"/>
  <c r="BE11" i="2" s="1"/>
  <c r="BB10" i="2"/>
  <c r="BE10" i="2" s="1" a="1"/>
  <c r="BE10" i="2" s="1"/>
  <c r="BB9" i="2"/>
  <c r="BE9" i="2" s="1" a="1"/>
  <c r="BE9" i="2" s="1"/>
  <c r="BB8" i="2"/>
  <c r="BC8" i="2" s="1" a="1"/>
  <c r="BC8" i="2" s="1"/>
  <c r="BB7" i="2"/>
  <c r="BC7" i="2" s="1" a="1"/>
  <c r="BC7" i="2" s="1"/>
  <c r="BB6" i="2"/>
  <c r="BE6" i="2" s="1" a="1"/>
  <c r="BE6" i="2" s="1"/>
  <c r="BB4" i="2"/>
  <c r="BC4" i="2" s="1" a="1"/>
  <c r="BC4" i="2" s="1"/>
  <c r="BB3" i="2"/>
  <c r="BC3" i="2" s="1" a="1"/>
  <c r="BC3" i="2" s="1"/>
  <c r="K103" i="8"/>
  <c r="AS101" i="2"/>
  <c r="AU101" i="2" s="1"/>
  <c r="K101" i="8"/>
  <c r="AS99" i="2"/>
  <c r="AU99" i="2" s="1"/>
  <c r="K99" i="8"/>
  <c r="AS97" i="2"/>
  <c r="AU97" i="2" s="1"/>
  <c r="K97" i="8"/>
  <c r="AS95" i="2"/>
  <c r="AU95" i="2" s="1"/>
  <c r="K95" i="8"/>
  <c r="AS93" i="2"/>
  <c r="AU93" i="2" s="1"/>
  <c r="K93" i="8"/>
  <c r="AS91" i="2"/>
  <c r="AU91" i="2" s="1"/>
  <c r="K91" i="8"/>
  <c r="AS89" i="2"/>
  <c r="AU89" i="2" s="1"/>
  <c r="K89" i="8"/>
  <c r="AS87" i="2"/>
  <c r="AU87" i="2" s="1"/>
  <c r="K87" i="8"/>
  <c r="AS85" i="2"/>
  <c r="AU85" i="2" s="1"/>
  <c r="K85" i="8"/>
  <c r="AS83" i="2"/>
  <c r="AU83" i="2" s="1"/>
  <c r="K83" i="8"/>
  <c r="AS81" i="2"/>
  <c r="AU81" i="2" s="1"/>
  <c r="K81" i="8"/>
  <c r="AS79" i="2"/>
  <c r="AU79" i="2" s="1"/>
  <c r="K79" i="8"/>
  <c r="AS77" i="2"/>
  <c r="AU77" i="2" s="1"/>
  <c r="K77" i="8"/>
  <c r="AS75" i="2"/>
  <c r="AU75" i="2" s="1"/>
  <c r="AU74" i="2"/>
  <c r="AX74" i="2" s="1" a="1"/>
  <c r="AX74" i="2" s="1"/>
  <c r="K75" i="8"/>
  <c r="AS73" i="2"/>
  <c r="AU73" i="2" s="1"/>
  <c r="K73" i="8"/>
  <c r="AS71" i="2"/>
  <c r="AU71" i="2" s="1"/>
  <c r="AU70" i="2"/>
  <c r="AX70" i="2" s="1" a="1"/>
  <c r="AX70" i="2" s="1"/>
  <c r="K71" i="8"/>
  <c r="AS69" i="2"/>
  <c r="AU69" i="2" s="1"/>
  <c r="AU68" i="2"/>
  <c r="AX68" i="2" s="1" a="1"/>
  <c r="AX68" i="2" s="1"/>
  <c r="K69" i="8"/>
  <c r="AS67" i="2"/>
  <c r="AU67" i="2" s="1"/>
  <c r="K67" i="8"/>
  <c r="AS65" i="2"/>
  <c r="AU65" i="2" s="1"/>
  <c r="K65" i="8"/>
  <c r="AS63" i="2"/>
  <c r="AU63" i="2" s="1"/>
  <c r="K63" i="8"/>
  <c r="AS61" i="2"/>
  <c r="AU61" i="2" s="1"/>
  <c r="K61" i="8"/>
  <c r="AS59" i="2"/>
  <c r="AU59" i="2" s="1"/>
  <c r="AU58" i="2"/>
  <c r="AX58" i="2" s="1" a="1"/>
  <c r="AX58" i="2" s="1"/>
  <c r="K59" i="8"/>
  <c r="AS57" i="2"/>
  <c r="AU57" i="2" s="1"/>
  <c r="AU56" i="2"/>
  <c r="AX56" i="2" s="1" a="1"/>
  <c r="AX56" i="2" s="1"/>
  <c r="K57" i="8"/>
  <c r="AS55" i="2"/>
  <c r="AU55" i="2" s="1"/>
  <c r="AU54" i="2"/>
  <c r="AV54" i="2" s="1" a="1"/>
  <c r="AV54" i="2" s="1"/>
  <c r="K55" i="8"/>
  <c r="AS53" i="2"/>
  <c r="AU53" i="2" s="1"/>
  <c r="K53" i="8"/>
  <c r="AS51" i="2"/>
  <c r="AU51" i="2" s="1"/>
  <c r="K52" i="8"/>
  <c r="K51" i="8"/>
  <c r="AS49" i="2"/>
  <c r="AU49" i="2" s="1"/>
  <c r="AU48" i="2"/>
  <c r="AV48" i="2" s="1" a="1"/>
  <c r="AV48" i="2" s="1"/>
  <c r="K50" i="8"/>
  <c r="K49" i="8"/>
  <c r="AS47" i="2"/>
  <c r="AU47" i="2" s="1"/>
  <c r="K48" i="8"/>
  <c r="AS46" i="2"/>
  <c r="AU46" i="2" s="1"/>
  <c r="K47" i="8"/>
  <c r="AS45" i="2"/>
  <c r="AU45" i="2" s="1"/>
  <c r="AU44" i="2"/>
  <c r="AV44" i="2" s="1" a="1"/>
  <c r="AV44" i="2" s="1"/>
  <c r="K46" i="8"/>
  <c r="K45" i="8"/>
  <c r="AS43" i="2"/>
  <c r="AU43" i="2" s="1"/>
  <c r="AS42" i="2"/>
  <c r="AU42" i="2" s="1"/>
  <c r="K44" i="8"/>
  <c r="K43" i="8"/>
  <c r="AS41" i="2"/>
  <c r="AU41" i="2" s="1"/>
  <c r="AU40" i="2"/>
  <c r="AV40" i="2" s="1" a="1"/>
  <c r="AV40" i="2" s="1"/>
  <c r="K42" i="8"/>
  <c r="K41" i="8"/>
  <c r="AS39" i="2"/>
  <c r="AU39" i="2" s="1"/>
  <c r="AS38" i="2"/>
  <c r="AU38" i="2" s="1"/>
  <c r="K40" i="8"/>
  <c r="K39" i="8"/>
  <c r="AS37" i="2"/>
  <c r="AU37" i="2" s="1"/>
  <c r="AU36" i="2"/>
  <c r="AV36" i="2" s="1" a="1"/>
  <c r="AV36" i="2" s="1"/>
  <c r="K38" i="8"/>
  <c r="K37" i="8"/>
  <c r="AS35" i="2"/>
  <c r="AU35" i="2" s="1"/>
  <c r="AS34" i="2"/>
  <c r="AU34" i="2" s="1"/>
  <c r="K36" i="8"/>
  <c r="K35" i="8"/>
  <c r="AS33" i="2"/>
  <c r="AU33" i="2" s="1"/>
  <c r="AS32" i="2"/>
  <c r="AU32" i="2" s="1"/>
  <c r="K34" i="8"/>
  <c r="K33" i="8"/>
  <c r="AS31" i="2"/>
  <c r="AU31" i="2" s="1"/>
  <c r="AS30" i="2"/>
  <c r="AU30" i="2" s="1"/>
  <c r="K32" i="8"/>
  <c r="K31" i="8"/>
  <c r="AS29" i="2"/>
  <c r="AU29" i="2" s="1"/>
  <c r="AS28" i="2"/>
  <c r="AU28" i="2" s="1"/>
  <c r="K30" i="8"/>
  <c r="K29" i="8"/>
  <c r="AS27" i="2"/>
  <c r="AU27" i="2" s="1"/>
  <c r="AS26" i="2"/>
  <c r="AU26" i="2" s="1"/>
  <c r="K28" i="8"/>
  <c r="K27" i="8"/>
  <c r="AS25" i="2"/>
  <c r="AU25" i="2" s="1"/>
  <c r="AS24" i="2"/>
  <c r="AU24" i="2" s="1"/>
  <c r="K26" i="8"/>
  <c r="K25" i="8"/>
  <c r="AS23" i="2"/>
  <c r="AU23" i="2" s="1"/>
  <c r="AS22" i="2"/>
  <c r="AU22" i="2" s="1"/>
  <c r="K24" i="8"/>
  <c r="K23" i="8"/>
  <c r="AS21" i="2"/>
  <c r="AU21" i="2" s="1"/>
  <c r="AS20" i="2"/>
  <c r="AU20" i="2" s="1"/>
  <c r="K22" i="8"/>
  <c r="K21" i="8"/>
  <c r="AS19" i="2"/>
  <c r="AU19" i="2" s="1"/>
  <c r="AS18" i="2"/>
  <c r="AU18" i="2" s="1"/>
  <c r="K20" i="8"/>
  <c r="K19" i="8"/>
  <c r="AS17" i="2"/>
  <c r="AU17" i="2" s="1"/>
  <c r="AU16" i="2"/>
  <c r="AX16" i="2" s="1" a="1"/>
  <c r="AX16" i="2" s="1"/>
  <c r="K18" i="8"/>
  <c r="K17" i="8"/>
  <c r="AS15" i="2"/>
  <c r="AU15" i="2" s="1"/>
  <c r="AS14" i="2"/>
  <c r="AU14" i="2" s="1"/>
  <c r="K16" i="8"/>
  <c r="K15" i="8"/>
  <c r="AS13" i="2"/>
  <c r="AU13" i="2" s="1"/>
  <c r="AU12" i="2"/>
  <c r="AX12" i="2" s="1" a="1"/>
  <c r="AX12" i="2" s="1"/>
  <c r="AU11" i="2"/>
  <c r="AV11" i="2" s="1" a="1"/>
  <c r="AV11" i="2" s="1"/>
  <c r="AU10" i="2"/>
  <c r="AV10" i="2" s="1" a="1"/>
  <c r="AV10" i="2" s="1"/>
  <c r="AU9" i="2"/>
  <c r="AX9" i="2" s="1" a="1"/>
  <c r="AX9" i="2" s="1"/>
  <c r="AU8" i="2"/>
  <c r="AX8" i="2" s="1" a="1"/>
  <c r="AX8" i="2" s="1"/>
  <c r="AU7" i="2"/>
  <c r="AX7" i="2" s="1" a="1"/>
  <c r="AX7" i="2" s="1"/>
  <c r="AU6" i="2"/>
  <c r="AX6" i="2" s="1" a="1"/>
  <c r="AX6" i="2" s="1"/>
  <c r="AU5" i="2"/>
  <c r="AV5" i="2" s="1" a="1"/>
  <c r="AV5" i="2" s="1"/>
  <c r="K103" i="9"/>
  <c r="AL101" i="2"/>
  <c r="AN101" i="2" s="1"/>
  <c r="K102" i="9"/>
  <c r="AL100" i="2"/>
  <c r="AN100" i="2" s="1"/>
  <c r="K101" i="9"/>
  <c r="AL99" i="2"/>
  <c r="AN99" i="2" s="1"/>
  <c r="K100" i="9"/>
  <c r="AL98" i="2"/>
  <c r="AN98" i="2" s="1"/>
  <c r="K99" i="9"/>
  <c r="AL97" i="2"/>
  <c r="AN97" i="2" s="1"/>
  <c r="K98" i="9"/>
  <c r="AL96" i="2"/>
  <c r="AN96" i="2" s="1"/>
  <c r="K97" i="9"/>
  <c r="AL95" i="2"/>
  <c r="AN95" i="2" s="1"/>
  <c r="K96" i="9"/>
  <c r="AL94" i="2"/>
  <c r="AN94" i="2" s="1"/>
  <c r="K95" i="9"/>
  <c r="AL93" i="2"/>
  <c r="AN93" i="2" s="1"/>
  <c r="K94" i="9"/>
  <c r="AL92" i="2"/>
  <c r="AN92" i="2" s="1"/>
  <c r="K93" i="9"/>
  <c r="AL91" i="2"/>
  <c r="AN91" i="2" s="1"/>
  <c r="K92" i="9"/>
  <c r="AL90" i="2"/>
  <c r="AN90" i="2" s="1"/>
  <c r="K91" i="9"/>
  <c r="AL89" i="2"/>
  <c r="AN89" i="2" s="1"/>
  <c r="K90" i="9"/>
  <c r="AL88" i="2"/>
  <c r="AN88" i="2" s="1"/>
  <c r="K89" i="9"/>
  <c r="AL87" i="2"/>
  <c r="AN87" i="2" s="1"/>
  <c r="K88" i="9"/>
  <c r="AL86" i="2"/>
  <c r="AN86" i="2" s="1"/>
  <c r="K87" i="9"/>
  <c r="AL85" i="2"/>
  <c r="AN85" i="2" s="1"/>
  <c r="K86" i="9"/>
  <c r="AL84" i="2"/>
  <c r="AN84" i="2" s="1"/>
  <c r="K85" i="9"/>
  <c r="AL83" i="2"/>
  <c r="AN83" i="2" s="1"/>
  <c r="K84" i="9"/>
  <c r="AL82" i="2"/>
  <c r="AN82" i="2" s="1"/>
  <c r="K83" i="9"/>
  <c r="AL81" i="2"/>
  <c r="AN81" i="2" s="1"/>
  <c r="K82" i="9"/>
  <c r="AL80" i="2"/>
  <c r="AN80" i="2" s="1"/>
  <c r="K81" i="9"/>
  <c r="AL79" i="2"/>
  <c r="AN79" i="2" s="1"/>
  <c r="K80" i="9"/>
  <c r="AL78" i="2"/>
  <c r="AN78" i="2" s="1"/>
  <c r="K79" i="9"/>
  <c r="AM77" i="2"/>
  <c r="AN77" i="2" s="1"/>
  <c r="AN76" i="2"/>
  <c r="AQ76" i="2" s="1" a="1"/>
  <c r="AQ76" i="2" s="1"/>
  <c r="AN75" i="2"/>
  <c r="AO75" i="2" s="1" a="1"/>
  <c r="AO75" i="2" s="1"/>
  <c r="K77" i="9"/>
  <c r="K76" i="9"/>
  <c r="AL74" i="2"/>
  <c r="AN74" i="2" s="1"/>
  <c r="K75" i="9"/>
  <c r="AL73" i="2"/>
  <c r="AN73" i="2" s="1"/>
  <c r="K74" i="9"/>
  <c r="AL72" i="2"/>
  <c r="AN72" i="2" s="1"/>
  <c r="K73" i="9"/>
  <c r="AL71" i="2"/>
  <c r="AN71" i="2" s="1"/>
  <c r="AN70" i="2"/>
  <c r="AQ70" i="2" s="1" a="1"/>
  <c r="AQ70" i="2" s="1"/>
  <c r="AN69" i="2"/>
  <c r="AO69" i="2" s="1" a="1"/>
  <c r="AO69" i="2" s="1"/>
  <c r="K71" i="9"/>
  <c r="AN67" i="2"/>
  <c r="AO67" i="2" s="1" a="1"/>
  <c r="AO67" i="2" s="1"/>
  <c r="K69" i="9"/>
  <c r="K68" i="9"/>
  <c r="AL66" i="2"/>
  <c r="AN66" i="2" s="1"/>
  <c r="K67" i="9"/>
  <c r="AL65" i="2"/>
  <c r="AN65" i="2" s="1"/>
  <c r="K66" i="9"/>
  <c r="AL64" i="2"/>
  <c r="AN64" i="2" s="1"/>
  <c r="AN63" i="2"/>
  <c r="AQ63" i="2" s="1" a="1"/>
  <c r="AQ63" i="2" s="1"/>
  <c r="K64" i="9"/>
  <c r="AL62" i="2"/>
  <c r="AN62" i="2" s="1"/>
  <c r="K63" i="9"/>
  <c r="K62" i="9"/>
  <c r="AL60" i="2"/>
  <c r="AN60" i="2" s="1"/>
  <c r="K61" i="9"/>
  <c r="AL59" i="2"/>
  <c r="AN59" i="2" s="1"/>
  <c r="K60" i="9"/>
  <c r="AL58" i="2"/>
  <c r="AN58" i="2" s="1"/>
  <c r="K59" i="9"/>
  <c r="AL57" i="2"/>
  <c r="AN57" i="2" s="1"/>
  <c r="K58" i="9"/>
  <c r="AL56" i="2"/>
  <c r="AN56" i="2" s="1"/>
  <c r="AN55" i="2"/>
  <c r="AO55" i="2" s="1" a="1"/>
  <c r="AO55" i="2" s="1"/>
  <c r="K57" i="9"/>
  <c r="AN54" i="2"/>
  <c r="AQ54" i="2" s="1" a="1"/>
  <c r="AQ54" i="2" s="1"/>
  <c r="AN53" i="2"/>
  <c r="AQ53" i="2" s="1" a="1"/>
  <c r="AQ53" i="2" s="1"/>
  <c r="K55" i="9"/>
  <c r="AN52" i="2"/>
  <c r="AQ52" i="2" s="1" a="1"/>
  <c r="AQ52" i="2" s="1"/>
  <c r="K53" i="9"/>
  <c r="K52" i="9"/>
  <c r="AL50" i="2"/>
  <c r="AN50" i="2" s="1"/>
  <c r="AN48" i="2"/>
  <c r="AQ48" i="2" s="1" a="1"/>
  <c r="AQ48" i="2" s="1"/>
  <c r="K49" i="9"/>
  <c r="K48" i="9"/>
  <c r="AL46" i="2"/>
  <c r="AN46" i="2" s="1"/>
  <c r="AN45" i="2"/>
  <c r="AO45" i="2" s="1" a="1"/>
  <c r="AO45" i="2" s="1"/>
  <c r="K47" i="9"/>
  <c r="AN43" i="2"/>
  <c r="AQ43" i="2" s="1" a="1"/>
  <c r="AQ43" i="2" s="1"/>
  <c r="K45" i="9"/>
  <c r="K44" i="9"/>
  <c r="AL42" i="2"/>
  <c r="AN42" i="2" s="1"/>
  <c r="K43" i="9"/>
  <c r="AL41" i="2"/>
  <c r="AN41" i="2" s="1"/>
  <c r="K42" i="9"/>
  <c r="AL40" i="2"/>
  <c r="AN40" i="2" s="1"/>
  <c r="K41" i="9"/>
  <c r="AL39" i="2"/>
  <c r="AN39" i="2" s="1"/>
  <c r="K40" i="9"/>
  <c r="AL38" i="2"/>
  <c r="AN38" i="2" s="1"/>
  <c r="AN37" i="2"/>
  <c r="AQ37" i="2" s="1" a="1"/>
  <c r="AQ37" i="2" s="1"/>
  <c r="K39" i="9"/>
  <c r="AN36" i="2"/>
  <c r="AO36" i="2" s="1" a="1"/>
  <c r="AO36" i="2" s="1"/>
  <c r="AN35" i="2"/>
  <c r="AO35" i="2" s="1" a="1"/>
  <c r="AO35" i="2" s="1"/>
  <c r="K37" i="9"/>
  <c r="K36" i="9"/>
  <c r="AL34" i="2"/>
  <c r="AN34" i="2" s="1"/>
  <c r="K35" i="9"/>
  <c r="AL33" i="2"/>
  <c r="AN33" i="2" s="1"/>
  <c r="K34" i="9"/>
  <c r="AL32" i="2"/>
  <c r="AN32" i="2" s="1"/>
  <c r="K33" i="9"/>
  <c r="AL31" i="2"/>
  <c r="AN31" i="2" s="1"/>
  <c r="K32" i="9"/>
  <c r="AL30" i="2"/>
  <c r="AN30" i="2" s="1"/>
  <c r="K31" i="9"/>
  <c r="AN28" i="2"/>
  <c r="AQ28" i="2" s="1" a="1"/>
  <c r="AQ28" i="2" s="1"/>
  <c r="AN27" i="2"/>
  <c r="AO27" i="2" s="1" a="1"/>
  <c r="AO27" i="2" s="1"/>
  <c r="K29" i="9"/>
  <c r="K28" i="9"/>
  <c r="AL26" i="2"/>
  <c r="AN26" i="2" s="1"/>
  <c r="K27" i="9"/>
  <c r="AL25" i="2"/>
  <c r="AN25" i="2" s="1"/>
  <c r="K26" i="9"/>
  <c r="AL24" i="2"/>
  <c r="AN24" i="2" s="1"/>
  <c r="K25" i="9"/>
  <c r="AL23" i="2"/>
  <c r="AN23" i="2" s="1"/>
  <c r="K24" i="9"/>
  <c r="AL22" i="2"/>
  <c r="AN22" i="2" s="1"/>
  <c r="AN21" i="2"/>
  <c r="AQ21" i="2" s="1" a="1"/>
  <c r="AQ21" i="2" s="1"/>
  <c r="K23" i="9"/>
  <c r="AN20" i="2"/>
  <c r="AQ20" i="2" s="1" a="1"/>
  <c r="AQ20" i="2" s="1"/>
  <c r="K21" i="9"/>
  <c r="K20" i="9"/>
  <c r="AL18" i="2"/>
  <c r="AN18" i="2" s="1"/>
  <c r="K19" i="9"/>
  <c r="AL17" i="2"/>
  <c r="AN17" i="2" s="1"/>
  <c r="K18" i="9"/>
  <c r="AL16" i="2"/>
  <c r="AN16" i="2" s="1"/>
  <c r="K17" i="9"/>
  <c r="AL15" i="2"/>
  <c r="AN15" i="2" s="1"/>
  <c r="K16" i="9"/>
  <c r="AL14" i="2"/>
  <c r="AN14" i="2" s="1"/>
  <c r="AN13" i="2"/>
  <c r="AQ13" i="2" s="1" a="1"/>
  <c r="AQ13" i="2" s="1"/>
  <c r="AN11" i="2"/>
  <c r="AQ11" i="2" s="1" a="1"/>
  <c r="AQ11" i="2" s="1"/>
  <c r="K13" i="9"/>
  <c r="AN9" i="2"/>
  <c r="AQ9" i="2" s="1" a="1"/>
  <c r="AQ9" i="2" s="1"/>
  <c r="AN8" i="2"/>
  <c r="AO8" i="2" s="1" a="1"/>
  <c r="AO8" i="2" s="1"/>
  <c r="AN5" i="2"/>
  <c r="AQ5" i="2" s="1" a="1"/>
  <c r="AQ5" i="2" s="1"/>
  <c r="AN4" i="2"/>
  <c r="AO4" i="2" s="1" a="1"/>
  <c r="AO4" i="2" s="1"/>
  <c r="K103" i="11"/>
  <c r="AE101" i="2"/>
  <c r="AG101" i="2" s="1"/>
  <c r="K102" i="11"/>
  <c r="AE100" i="2"/>
  <c r="AG100" i="2" s="1"/>
  <c r="AG99" i="2"/>
  <c r="AH99" i="2" s="1" a="1"/>
  <c r="AH99" i="2" s="1"/>
  <c r="K100" i="11"/>
  <c r="AE98" i="2"/>
  <c r="AG98" i="2" s="1"/>
  <c r="AG97" i="2"/>
  <c r="AJ97" i="2" s="1" a="1"/>
  <c r="AJ97" i="2" s="1"/>
  <c r="K98" i="11"/>
  <c r="AE96" i="2"/>
  <c r="AG96" i="2" s="1"/>
  <c r="K97" i="11"/>
  <c r="AE95" i="2"/>
  <c r="AG95" i="2" s="1"/>
  <c r="K96" i="11"/>
  <c r="AE94" i="2"/>
  <c r="AG94" i="2" s="1"/>
  <c r="K95" i="11"/>
  <c r="AE93" i="2"/>
  <c r="AG93" i="2" s="1"/>
  <c r="K94" i="11"/>
  <c r="AE92" i="2"/>
  <c r="AG92" i="2" s="1"/>
  <c r="AG91" i="2"/>
  <c r="AH91" i="2" s="1" a="1"/>
  <c r="AH91" i="2" s="1"/>
  <c r="K92" i="11"/>
  <c r="AE90" i="2"/>
  <c r="AG90" i="2" s="1"/>
  <c r="AG89" i="2"/>
  <c r="AH89" i="2" s="1" a="1"/>
  <c r="AH89" i="2" s="1"/>
  <c r="K90" i="11"/>
  <c r="AE88" i="2"/>
  <c r="AG88" i="2" s="1"/>
  <c r="K89" i="11"/>
  <c r="AE87" i="2"/>
  <c r="AG87" i="2" s="1"/>
  <c r="K88" i="11"/>
  <c r="AE86" i="2"/>
  <c r="AG86" i="2" s="1"/>
  <c r="AG85" i="2"/>
  <c r="AJ85" i="2" s="1" a="1"/>
  <c r="AJ85" i="2" s="1"/>
  <c r="K86" i="11"/>
  <c r="AE84" i="2"/>
  <c r="AG84" i="2" s="1"/>
  <c r="AG82" i="2"/>
  <c r="AH82" i="2" s="1" a="1"/>
  <c r="AH82" i="2" s="1"/>
  <c r="K85" i="11"/>
  <c r="AE83" i="2"/>
  <c r="AG83" i="2" s="1"/>
  <c r="AG81" i="2"/>
  <c r="AH81" i="2" s="1" a="1"/>
  <c r="AH81" i="2" s="1"/>
  <c r="K82" i="11"/>
  <c r="AE80" i="2"/>
  <c r="AG80" i="2" s="1"/>
  <c r="K81" i="11"/>
  <c r="AE79" i="2"/>
  <c r="AG79" i="2" s="1"/>
  <c r="AG78" i="2"/>
  <c r="AJ78" i="2" s="1" a="1"/>
  <c r="AJ78" i="2" s="1"/>
  <c r="AG77" i="2"/>
  <c r="AJ77" i="2" s="1" a="1"/>
  <c r="AJ77" i="2" s="1"/>
  <c r="K78" i="11"/>
  <c r="AE76" i="2"/>
  <c r="AG76" i="2" s="1"/>
  <c r="K77" i="11"/>
  <c r="AE75" i="2"/>
  <c r="AG75" i="2" s="1"/>
  <c r="AG74" i="2"/>
  <c r="AJ74" i="2" s="1" a="1"/>
  <c r="AJ74" i="2" s="1"/>
  <c r="AG73" i="2"/>
  <c r="AJ73" i="2" s="1" a="1"/>
  <c r="AJ73" i="2" s="1"/>
  <c r="K74" i="11"/>
  <c r="AE72" i="2"/>
  <c r="AG72" i="2" s="1"/>
  <c r="K73" i="11"/>
  <c r="AE71" i="2"/>
  <c r="AG71" i="2" s="1"/>
  <c r="K71" i="11"/>
  <c r="AE69" i="2"/>
  <c r="AG69" i="2" s="1"/>
  <c r="AG68" i="2"/>
  <c r="AH68" i="2" s="1" a="1"/>
  <c r="AH68" i="2" s="1"/>
  <c r="K69" i="11"/>
  <c r="AE67" i="2"/>
  <c r="AG67" i="2" s="1"/>
  <c r="AG66" i="2"/>
  <c r="AH66" i="2" s="1" a="1"/>
  <c r="AH66" i="2" s="1"/>
  <c r="K67" i="11"/>
  <c r="AE65" i="2"/>
  <c r="AG65" i="2" s="1"/>
  <c r="AG64" i="2"/>
  <c r="AH64" i="2" s="1" a="1"/>
  <c r="AH64" i="2" s="1"/>
  <c r="K65" i="11"/>
  <c r="AE63" i="2"/>
  <c r="AG63" i="2" s="1"/>
  <c r="AG62" i="2"/>
  <c r="AH62" i="2" s="1" a="1"/>
  <c r="AH62" i="2" s="1"/>
  <c r="AG61" i="2"/>
  <c r="AH61" i="2" s="1" a="1"/>
  <c r="AH61" i="2" s="1"/>
  <c r="K62" i="11"/>
  <c r="AE60" i="2"/>
  <c r="AG60" i="2" s="1"/>
  <c r="K61" i="11"/>
  <c r="AE59" i="2"/>
  <c r="AG59" i="2" s="1"/>
  <c r="AG58" i="2"/>
  <c r="AJ58" i="2" s="1" a="1"/>
  <c r="AJ58" i="2" s="1"/>
  <c r="AG57" i="2"/>
  <c r="AJ57" i="2" s="1" a="1"/>
  <c r="AJ57" i="2" s="1"/>
  <c r="K58" i="11"/>
  <c r="AE56" i="2"/>
  <c r="AG56" i="2" s="1"/>
  <c r="K57" i="11"/>
  <c r="AE55" i="2"/>
  <c r="AG55" i="2" s="1"/>
  <c r="K56" i="11"/>
  <c r="AE54" i="2"/>
  <c r="AG54" i="2" s="1"/>
  <c r="AG53" i="2"/>
  <c r="AJ53" i="2" s="1" a="1"/>
  <c r="AJ53" i="2" s="1"/>
  <c r="AG52" i="2"/>
  <c r="AJ52" i="2" s="1" a="1"/>
  <c r="AJ52" i="2" s="1"/>
  <c r="K53" i="11"/>
  <c r="AE51" i="2"/>
  <c r="AG51" i="2" s="1"/>
  <c r="K52" i="11"/>
  <c r="AE50" i="2"/>
  <c r="AG50" i="2" s="1"/>
  <c r="AG49" i="2"/>
  <c r="AH49" i="2" s="1" a="1"/>
  <c r="AH49" i="2" s="1"/>
  <c r="K51" i="11"/>
  <c r="AG48" i="2"/>
  <c r="AH48" i="2" s="1" a="1"/>
  <c r="AH48" i="2" s="1"/>
  <c r="K49" i="11"/>
  <c r="AE47" i="2"/>
  <c r="AG47" i="2" s="1"/>
  <c r="K48" i="11"/>
  <c r="AE46" i="2"/>
  <c r="AG46" i="2" s="1"/>
  <c r="K47" i="11"/>
  <c r="AE45" i="2"/>
  <c r="AG45" i="2" s="1"/>
  <c r="AG44" i="2"/>
  <c r="AJ44" i="2" s="1" a="1"/>
  <c r="AJ44" i="2" s="1"/>
  <c r="K46" i="11"/>
  <c r="K45" i="11"/>
  <c r="AE43" i="2"/>
  <c r="AG43" i="2" s="1"/>
  <c r="AG42" i="2"/>
  <c r="AJ42" i="2" s="1" a="1"/>
  <c r="AJ42" i="2" s="1"/>
  <c r="K44" i="11"/>
  <c r="K43" i="11"/>
  <c r="AE41" i="2"/>
  <c r="AG41" i="2" s="1"/>
  <c r="K42" i="11"/>
  <c r="AE40" i="2"/>
  <c r="AG40" i="2" s="1"/>
  <c r="K41" i="11"/>
  <c r="AE39" i="2"/>
  <c r="AG39" i="2" s="1"/>
  <c r="K40" i="11"/>
  <c r="AE38" i="2"/>
  <c r="AG38" i="2" s="1"/>
  <c r="K39" i="11"/>
  <c r="AE37" i="2"/>
  <c r="AG37" i="2" s="1"/>
  <c r="AG36" i="2"/>
  <c r="AJ36" i="2" s="1" a="1"/>
  <c r="AJ36" i="2" s="1"/>
  <c r="K38" i="11"/>
  <c r="K37" i="11"/>
  <c r="AE35" i="2"/>
  <c r="AG35" i="2" s="1"/>
  <c r="AG34" i="2"/>
  <c r="AH34" i="2" s="1" a="1"/>
  <c r="AH34" i="2" s="1"/>
  <c r="K36" i="11"/>
  <c r="K35" i="11"/>
  <c r="AE33" i="2"/>
  <c r="AG33" i="2" s="1"/>
  <c r="K34" i="11"/>
  <c r="AE32" i="2"/>
  <c r="AG32" i="2" s="1"/>
  <c r="K33" i="11"/>
  <c r="AE31" i="2"/>
  <c r="AG31" i="2" s="1"/>
  <c r="K32" i="11"/>
  <c r="AE30" i="2"/>
  <c r="AG30" i="2" s="1"/>
  <c r="K31" i="11"/>
  <c r="AE29" i="2"/>
  <c r="AG29" i="2" s="1"/>
  <c r="K30" i="11"/>
  <c r="AF28" i="2"/>
  <c r="AG28" i="2" s="1"/>
  <c r="K29" i="11"/>
  <c r="AE27" i="2"/>
  <c r="AG27" i="2" s="1"/>
  <c r="AG26" i="2"/>
  <c r="AJ26" i="2" s="1" a="1"/>
  <c r="AJ26" i="2" s="1"/>
  <c r="K28" i="11"/>
  <c r="K27" i="11"/>
  <c r="AE25" i="2"/>
  <c r="AG25" i="2" s="1"/>
  <c r="K26" i="11"/>
  <c r="AE24" i="2"/>
  <c r="AG24" i="2" s="1"/>
  <c r="K25" i="11"/>
  <c r="AE23" i="2"/>
  <c r="AG23" i="2" s="1"/>
  <c r="K24" i="11"/>
  <c r="AE22" i="2"/>
  <c r="AG22" i="2" s="1"/>
  <c r="K23" i="11"/>
  <c r="AE21" i="2"/>
  <c r="AG21" i="2" s="1"/>
  <c r="AG20" i="2"/>
  <c r="AJ20" i="2" s="1" a="1"/>
  <c r="AJ20" i="2" s="1"/>
  <c r="K22" i="11"/>
  <c r="K21" i="11"/>
  <c r="AE19" i="2"/>
  <c r="AG19" i="2" s="1"/>
  <c r="AG18" i="2"/>
  <c r="AJ18" i="2" s="1" a="1"/>
  <c r="AJ18" i="2" s="1"/>
  <c r="K20" i="11"/>
  <c r="K19" i="11"/>
  <c r="AE17" i="2"/>
  <c r="AG17" i="2" s="1"/>
  <c r="K18" i="11"/>
  <c r="AE16" i="2"/>
  <c r="AG16" i="2" s="1"/>
  <c r="AG15" i="2"/>
  <c r="AH15" i="2" s="1" a="1"/>
  <c r="AH15" i="2" s="1"/>
  <c r="AG14" i="2"/>
  <c r="AH14" i="2" s="1" a="1"/>
  <c r="AH14" i="2" s="1"/>
  <c r="AG12" i="2"/>
  <c r="AJ12" i="2" s="1" a="1"/>
  <c r="AJ12" i="2" s="1"/>
  <c r="K14" i="11"/>
  <c r="AG10" i="2"/>
  <c r="AH10" i="2" s="1" a="1"/>
  <c r="AH10" i="2" s="1"/>
  <c r="K12" i="11"/>
  <c r="AG9" i="2"/>
  <c r="AJ9" i="2" s="1" a="1"/>
  <c r="AJ9" i="2" s="1"/>
  <c r="AG7" i="2"/>
  <c r="AH7" i="2" s="1" a="1"/>
  <c r="AH7" i="2" s="1"/>
  <c r="AG4" i="2"/>
  <c r="AJ4" i="2" s="1" a="1"/>
  <c r="AJ4" i="2" s="1"/>
  <c r="K103" i="7"/>
  <c r="X101" i="2"/>
  <c r="Z101" i="2" s="1"/>
  <c r="K102" i="7"/>
  <c r="X100" i="2"/>
  <c r="Z100" i="2" s="1"/>
  <c r="K101" i="7"/>
  <c r="X99" i="2"/>
  <c r="Z99" i="2" s="1"/>
  <c r="K100" i="7"/>
  <c r="X98" i="2"/>
  <c r="Z98" i="2" s="1"/>
  <c r="K99" i="7"/>
  <c r="X97" i="2"/>
  <c r="Z97" i="2" s="1"/>
  <c r="K98" i="7"/>
  <c r="X96" i="2"/>
  <c r="Z96" i="2" s="1"/>
  <c r="K97" i="7"/>
  <c r="X95" i="2"/>
  <c r="Z95" i="2" s="1"/>
  <c r="K96" i="7"/>
  <c r="X94" i="2"/>
  <c r="Z94" i="2" s="1"/>
  <c r="K95" i="7"/>
  <c r="X93" i="2"/>
  <c r="Z93" i="2" s="1"/>
  <c r="K94" i="7"/>
  <c r="X92" i="2"/>
  <c r="Z92" i="2" s="1"/>
  <c r="K93" i="7"/>
  <c r="X91" i="2"/>
  <c r="Z91" i="2" s="1"/>
  <c r="K92" i="7"/>
  <c r="X90" i="2"/>
  <c r="Z90" i="2" s="1"/>
  <c r="K91" i="7"/>
  <c r="X89" i="2"/>
  <c r="Z89" i="2" s="1"/>
  <c r="K90" i="7"/>
  <c r="X88" i="2"/>
  <c r="Z88" i="2" s="1"/>
  <c r="K89" i="7"/>
  <c r="X87" i="2"/>
  <c r="Z87" i="2" s="1"/>
  <c r="K88" i="7"/>
  <c r="X86" i="2"/>
  <c r="Z86" i="2" s="1"/>
  <c r="K87" i="7"/>
  <c r="X85" i="2"/>
  <c r="Z85" i="2" s="1"/>
  <c r="K86" i="7"/>
  <c r="X84" i="2"/>
  <c r="Z84" i="2" s="1"/>
  <c r="K85" i="7"/>
  <c r="X83" i="2"/>
  <c r="Z83" i="2" s="1"/>
  <c r="K84" i="7"/>
  <c r="X82" i="2"/>
  <c r="Z82" i="2" s="1"/>
  <c r="K83" i="7"/>
  <c r="X81" i="2"/>
  <c r="Z81" i="2" s="1"/>
  <c r="K82" i="7"/>
  <c r="X80" i="2"/>
  <c r="Z80" i="2" s="1"/>
  <c r="K81" i="7"/>
  <c r="X79" i="2"/>
  <c r="Z79" i="2" s="1"/>
  <c r="K80" i="7"/>
  <c r="X78" i="2"/>
  <c r="Z78" i="2" s="1"/>
  <c r="K79" i="7"/>
  <c r="X77" i="2"/>
  <c r="Z77" i="2" s="1"/>
  <c r="K78" i="7"/>
  <c r="X76" i="2"/>
  <c r="Z76" i="2" s="1"/>
  <c r="K77" i="7"/>
  <c r="X75" i="2"/>
  <c r="Z75" i="2" s="1"/>
  <c r="K76" i="7"/>
  <c r="X74" i="2"/>
  <c r="Z74" i="2" s="1"/>
  <c r="K75" i="7"/>
  <c r="X73" i="2"/>
  <c r="Z73" i="2" s="1"/>
  <c r="Z71" i="2"/>
  <c r="AA71" i="2" s="1" a="1"/>
  <c r="AA71" i="2" s="1"/>
  <c r="K73" i="7"/>
  <c r="Z70" i="2"/>
  <c r="AC70" i="2" s="1" a="1"/>
  <c r="AC70" i="2" s="1"/>
  <c r="Z69" i="2"/>
  <c r="AA69" i="2" s="1" a="1"/>
  <c r="AA69" i="2" s="1"/>
  <c r="K71" i="7"/>
  <c r="K70" i="7"/>
  <c r="X68" i="2"/>
  <c r="Z68" i="2" s="1"/>
  <c r="K69" i="7"/>
  <c r="X67" i="2"/>
  <c r="Z67" i="2" s="1"/>
  <c r="K68" i="7"/>
  <c r="X66" i="2"/>
  <c r="Z66" i="2" s="1"/>
  <c r="K67" i="7"/>
  <c r="X65" i="2"/>
  <c r="Z65" i="2" s="1"/>
  <c r="Z64" i="2"/>
  <c r="AA64" i="2" s="1" a="1"/>
  <c r="AA64" i="2" s="1"/>
  <c r="K65" i="7"/>
  <c r="Z62" i="2"/>
  <c r="AA62" i="2" s="1" a="1"/>
  <c r="AA62" i="2" s="1"/>
  <c r="Z61" i="2"/>
  <c r="AA61" i="2" s="1" a="1"/>
  <c r="AA61" i="2" s="1"/>
  <c r="K63" i="7"/>
  <c r="K62" i="7"/>
  <c r="X60" i="2"/>
  <c r="Z60" i="2" s="1"/>
  <c r="K61" i="7"/>
  <c r="X59" i="2"/>
  <c r="Z59" i="2" s="1"/>
  <c r="K60" i="7"/>
  <c r="X58" i="2"/>
  <c r="Z58" i="2" s="1"/>
  <c r="K58" i="7"/>
  <c r="X56" i="2"/>
  <c r="Z56" i="2" s="1"/>
  <c r="Z55" i="2"/>
  <c r="AA55" i="2" s="1" a="1"/>
  <c r="AA55" i="2" s="1"/>
  <c r="K57" i="7"/>
  <c r="Z54" i="2"/>
  <c r="AC54" i="2" s="1" a="1"/>
  <c r="AC54" i="2" s="1"/>
  <c r="K55" i="7"/>
  <c r="K54" i="7"/>
  <c r="X52" i="2"/>
  <c r="Z52" i="2" s="1"/>
  <c r="K53" i="7"/>
  <c r="X51" i="2"/>
  <c r="Z51" i="2" s="1"/>
  <c r="K52" i="7"/>
  <c r="X50" i="2"/>
  <c r="Z50" i="2" s="1"/>
  <c r="Z49" i="2"/>
  <c r="AA49" i="2" s="1" a="1"/>
  <c r="AA49" i="2" s="1"/>
  <c r="K50" i="7"/>
  <c r="X48" i="2"/>
  <c r="Z48" i="2" s="1"/>
  <c r="Z47" i="2"/>
  <c r="AC47" i="2" s="1" a="1"/>
  <c r="AC47" i="2" s="1"/>
  <c r="K49" i="7"/>
  <c r="Z46" i="2"/>
  <c r="AC46" i="2" s="1" a="1"/>
  <c r="AC46" i="2" s="1"/>
  <c r="K47" i="7"/>
  <c r="X45" i="2"/>
  <c r="Z45" i="2" s="1"/>
  <c r="Z44" i="2"/>
  <c r="AC44" i="2" s="1" a="1"/>
  <c r="AC44" i="2" s="1"/>
  <c r="K45" i="7"/>
  <c r="X43" i="2"/>
  <c r="Z43" i="2" s="1"/>
  <c r="Z42" i="2"/>
  <c r="AC42" i="2" s="1" a="1"/>
  <c r="AC42" i="2" s="1"/>
  <c r="K43" i="7"/>
  <c r="X41" i="2"/>
  <c r="Z41" i="2" s="1"/>
  <c r="Z40" i="2"/>
  <c r="AC40" i="2" s="1" a="1"/>
  <c r="AC40" i="2" s="1"/>
  <c r="K41" i="7"/>
  <c r="X39" i="2"/>
  <c r="Z39" i="2" s="1"/>
  <c r="Z38" i="2"/>
  <c r="AC38" i="2" s="1" a="1"/>
  <c r="AC38" i="2" s="1"/>
  <c r="K39" i="7"/>
  <c r="X37" i="2"/>
  <c r="Z37" i="2" s="1"/>
  <c r="Z36" i="2"/>
  <c r="AC36" i="2" s="1" a="1"/>
  <c r="AC36" i="2" s="1"/>
  <c r="K37" i="7"/>
  <c r="X35" i="2"/>
  <c r="Z35" i="2" s="1"/>
  <c r="Z34" i="2"/>
  <c r="AA34" i="2" s="1" a="1"/>
  <c r="AA34" i="2" s="1"/>
  <c r="K35" i="7"/>
  <c r="X33" i="2"/>
  <c r="Z33" i="2" s="1"/>
  <c r="K33" i="7"/>
  <c r="X31" i="2"/>
  <c r="Z31" i="2" s="1"/>
  <c r="Z30" i="2"/>
  <c r="AC30" i="2" s="1" a="1"/>
  <c r="AC30" i="2" s="1"/>
  <c r="K31" i="7"/>
  <c r="X29" i="2"/>
  <c r="Z29" i="2" s="1"/>
  <c r="Z28" i="2"/>
  <c r="AA28" i="2" s="1" a="1"/>
  <c r="AA28" i="2" s="1"/>
  <c r="K29" i="7"/>
  <c r="X27" i="2"/>
  <c r="Z27" i="2" s="1"/>
  <c r="Z26" i="2"/>
  <c r="AC26" i="2" s="1" a="1"/>
  <c r="AC26" i="2" s="1"/>
  <c r="K27" i="7"/>
  <c r="X25" i="2"/>
  <c r="Z25" i="2" s="1"/>
  <c r="K25" i="7"/>
  <c r="X23" i="2"/>
  <c r="Z23" i="2" s="1"/>
  <c r="Z22" i="2"/>
  <c r="AA22" i="2" s="1" a="1"/>
  <c r="AA22" i="2" s="1"/>
  <c r="K23" i="7"/>
  <c r="X21" i="2"/>
  <c r="Z21" i="2" s="1"/>
  <c r="Z20" i="2"/>
  <c r="AA20" i="2" s="1" a="1"/>
  <c r="AA20" i="2" s="1"/>
  <c r="K21" i="7"/>
  <c r="X19" i="2"/>
  <c r="Z19" i="2" s="1"/>
  <c r="Z18" i="2"/>
  <c r="AC18" i="2" s="1" a="1"/>
  <c r="AC18" i="2" s="1"/>
  <c r="K19" i="7"/>
  <c r="X17" i="2"/>
  <c r="Z17" i="2" s="1"/>
  <c r="K17" i="7"/>
  <c r="X15" i="2"/>
  <c r="Z15" i="2" s="1"/>
  <c r="Z14" i="2"/>
  <c r="AC14" i="2" s="1" a="1"/>
  <c r="AC14" i="2" s="1"/>
  <c r="K15" i="7"/>
  <c r="X13" i="2"/>
  <c r="Z13" i="2" s="1"/>
  <c r="Z12" i="2"/>
  <c r="AC12" i="2" s="1" a="1"/>
  <c r="AC12" i="2" s="1"/>
  <c r="Z11" i="2"/>
  <c r="AC11" i="2" s="1" a="1"/>
  <c r="AC11" i="2" s="1"/>
  <c r="Z10" i="2"/>
  <c r="AC10" i="2" s="1" a="1"/>
  <c r="AC10" i="2" s="1"/>
  <c r="Z9" i="2"/>
  <c r="AA9" i="2" s="1" a="1"/>
  <c r="AA9" i="2" s="1"/>
  <c r="Z8" i="2"/>
  <c r="AA8" i="2" s="1" a="1"/>
  <c r="AA8" i="2" s="1"/>
  <c r="Z7" i="2"/>
  <c r="AA7" i="2" s="1" a="1"/>
  <c r="AA7" i="2" s="1"/>
  <c r="Z6" i="2"/>
  <c r="AC6" i="2" s="1" a="1"/>
  <c r="AC6" i="2" s="1"/>
  <c r="Z5" i="2"/>
  <c r="AC5" i="2" s="1" a="1"/>
  <c r="AC5" i="2" s="1"/>
  <c r="Z4" i="2"/>
  <c r="AA4" i="2" s="1" a="1"/>
  <c r="AA4" i="2" s="1"/>
  <c r="K5" i="7"/>
  <c r="X3" i="2"/>
  <c r="Z3" i="2" s="1"/>
  <c r="S101" i="2"/>
  <c r="T101" i="2" s="1" a="1"/>
  <c r="T101" i="2" s="1"/>
  <c r="S100" i="2"/>
  <c r="T100" i="2" s="1" a="1"/>
  <c r="T100" i="2" s="1"/>
  <c r="S99" i="2"/>
  <c r="V99" i="2" s="1" a="1"/>
  <c r="V99" i="2" s="1"/>
  <c r="S98" i="2"/>
  <c r="V98" i="2" s="1" a="1"/>
  <c r="V98" i="2" s="1"/>
  <c r="S97" i="2"/>
  <c r="T97" i="2" s="1" a="1"/>
  <c r="T97" i="2" s="1"/>
  <c r="S96" i="2"/>
  <c r="V96" i="2" s="1" a="1"/>
  <c r="V96" i="2" s="1"/>
  <c r="S94" i="2"/>
  <c r="V94" i="2" s="1" a="1"/>
  <c r="V94" i="2" s="1"/>
  <c r="S93" i="2"/>
  <c r="T93" i="2" s="1" a="1"/>
  <c r="T93" i="2" s="1"/>
  <c r="S92" i="2"/>
  <c r="V92" i="2" s="1" a="1"/>
  <c r="V92" i="2" s="1"/>
  <c r="S91" i="2"/>
  <c r="T91" i="2" s="1" a="1"/>
  <c r="T91" i="2" s="1"/>
  <c r="S90" i="2"/>
  <c r="T90" i="2" s="1" a="1"/>
  <c r="T90" i="2" s="1"/>
  <c r="S89" i="2"/>
  <c r="T89" i="2" s="1" a="1"/>
  <c r="T89" i="2" s="1"/>
  <c r="S88" i="2"/>
  <c r="T88" i="2" s="1" a="1"/>
  <c r="T88" i="2" s="1"/>
  <c r="S87" i="2"/>
  <c r="V87" i="2" s="1" a="1"/>
  <c r="V87" i="2" s="1"/>
  <c r="S86" i="2"/>
  <c r="V86" i="2" s="1" a="1"/>
  <c r="V86" i="2" s="1"/>
  <c r="S85" i="2"/>
  <c r="V85" i="2" s="1" a="1"/>
  <c r="V85" i="2" s="1"/>
  <c r="S84" i="2"/>
  <c r="T84" i="2" s="1" a="1"/>
  <c r="T84" i="2" s="1"/>
  <c r="S83" i="2"/>
  <c r="V83" i="2" s="1" a="1"/>
  <c r="V83" i="2" s="1"/>
  <c r="S82" i="2"/>
  <c r="T82" i="2" s="1" a="1"/>
  <c r="T82" i="2" s="1"/>
  <c r="S81" i="2"/>
  <c r="V81" i="2" s="1" a="1"/>
  <c r="V81" i="2" s="1"/>
  <c r="S80" i="2"/>
  <c r="V80" i="2" s="1" a="1"/>
  <c r="V80" i="2" s="1"/>
  <c r="S79" i="2"/>
  <c r="T79" i="2" s="1" a="1"/>
  <c r="T79" i="2" s="1"/>
  <c r="S78" i="2"/>
  <c r="T78" i="2" s="1" a="1"/>
  <c r="T78" i="2" s="1"/>
  <c r="S77" i="2"/>
  <c r="V77" i="2" s="1" a="1"/>
  <c r="V77" i="2" s="1"/>
  <c r="S76" i="2"/>
  <c r="V76" i="2" s="1" a="1"/>
  <c r="V76" i="2" s="1"/>
  <c r="S75" i="2"/>
  <c r="T75" i="2" s="1" a="1"/>
  <c r="T75" i="2" s="1"/>
  <c r="S74" i="2"/>
  <c r="V74" i="2" s="1" a="1"/>
  <c r="V74" i="2" s="1"/>
  <c r="S73" i="2"/>
  <c r="V73" i="2" s="1" a="1"/>
  <c r="V73" i="2" s="1"/>
  <c r="S71" i="2"/>
  <c r="T71" i="2" s="1" a="1"/>
  <c r="T71" i="2" s="1"/>
  <c r="S70" i="2"/>
  <c r="T70" i="2" s="1" a="1"/>
  <c r="T70" i="2" s="1"/>
  <c r="S69" i="2"/>
  <c r="V69" i="2" s="1" a="1"/>
  <c r="V69" i="2" s="1"/>
  <c r="S68" i="2"/>
  <c r="V68" i="2" s="1" a="1"/>
  <c r="V68" i="2" s="1"/>
  <c r="S67" i="2"/>
  <c r="V67" i="2" s="1" a="1"/>
  <c r="V67" i="2" s="1"/>
  <c r="S66" i="2"/>
  <c r="V66" i="2" s="1" a="1"/>
  <c r="V66" i="2" s="1"/>
  <c r="S65" i="2"/>
  <c r="T65" i="2" s="1" a="1"/>
  <c r="T65" i="2" s="1"/>
  <c r="S64" i="2"/>
  <c r="V64" i="2" s="1" a="1"/>
  <c r="V64" i="2" s="1"/>
  <c r="S63" i="2"/>
  <c r="T63" i="2" s="1" a="1"/>
  <c r="T63" i="2" s="1"/>
  <c r="S62" i="2"/>
  <c r="V62" i="2" s="1" a="1"/>
  <c r="V62" i="2" s="1"/>
  <c r="S61" i="2"/>
  <c r="T61" i="2" s="1" a="1"/>
  <c r="T61" i="2" s="1"/>
  <c r="S57" i="2"/>
  <c r="V57" i="2" s="1" a="1"/>
  <c r="V57" i="2" s="1"/>
  <c r="S55" i="2"/>
  <c r="V55" i="2" s="1" a="1"/>
  <c r="V55" i="2" s="1"/>
  <c r="S53" i="2"/>
  <c r="V53" i="2" s="1" a="1"/>
  <c r="V53" i="2" s="1"/>
  <c r="S52" i="2"/>
  <c r="T52" i="2" s="1" a="1"/>
  <c r="T52" i="2" s="1"/>
  <c r="S51" i="2"/>
  <c r="T51" i="2" s="1" a="1"/>
  <c r="T51" i="2" s="1"/>
  <c r="S50" i="2"/>
  <c r="V50" i="2" s="1" a="1"/>
  <c r="V50" i="2" s="1"/>
  <c r="S49" i="2"/>
  <c r="V49" i="2" s="1" a="1"/>
  <c r="V49" i="2" s="1"/>
  <c r="S48" i="2"/>
  <c r="T48" i="2" s="1" a="1"/>
  <c r="T48" i="2" s="1"/>
  <c r="S47" i="2"/>
  <c r="T47" i="2" s="1" a="1"/>
  <c r="T47" i="2" s="1"/>
  <c r="S46" i="2"/>
  <c r="V46" i="2" s="1" a="1"/>
  <c r="V46" i="2" s="1"/>
  <c r="K46" i="6"/>
  <c r="Q44" i="2"/>
  <c r="S44" i="2" s="1"/>
  <c r="S42" i="2"/>
  <c r="V42" i="2" s="1" a="1"/>
  <c r="V42" i="2" s="1"/>
  <c r="S41" i="2"/>
  <c r="T41" i="2" s="1" a="1"/>
  <c r="T41" i="2" s="1"/>
  <c r="K42" i="6"/>
  <c r="Q40" i="2"/>
  <c r="S40" i="2" s="1"/>
  <c r="S39" i="2"/>
  <c r="T39" i="2" s="1" a="1"/>
  <c r="T39" i="2" s="1"/>
  <c r="S37" i="2"/>
  <c r="T37" i="2" s="1" a="1"/>
  <c r="T37" i="2" s="1"/>
  <c r="K38" i="6"/>
  <c r="Q36" i="2"/>
  <c r="S36" i="2" s="1"/>
  <c r="S34" i="2"/>
  <c r="V34" i="2" s="1" a="1"/>
  <c r="V34" i="2" s="1"/>
  <c r="S33" i="2"/>
  <c r="T33" i="2" s="1" a="1"/>
  <c r="T33" i="2" s="1"/>
  <c r="S31" i="2"/>
  <c r="V31" i="2" s="1" a="1"/>
  <c r="V31" i="2" s="1"/>
  <c r="K34" i="6"/>
  <c r="Q32" i="2"/>
  <c r="S32" i="2" s="1"/>
  <c r="S30" i="2"/>
  <c r="T30" i="2" s="1" a="1"/>
  <c r="T30" i="2" s="1"/>
  <c r="S29" i="2"/>
  <c r="T29" i="2" s="1" a="1"/>
  <c r="T29" i="2" s="1"/>
  <c r="K30" i="6"/>
  <c r="Q28" i="2"/>
  <c r="S28" i="2" s="1"/>
  <c r="S26" i="2"/>
  <c r="V26" i="2" s="1" a="1"/>
  <c r="V26" i="2" s="1"/>
  <c r="S25" i="2"/>
  <c r="T25" i="2" s="1" a="1"/>
  <c r="T25" i="2" s="1"/>
  <c r="S23" i="2"/>
  <c r="V23" i="2" s="1" a="1"/>
  <c r="V23" i="2" s="1"/>
  <c r="S21" i="2"/>
  <c r="T21" i="2" s="1" a="1"/>
  <c r="T21" i="2" s="1"/>
  <c r="S18" i="2"/>
  <c r="V18" i="2" s="1" a="1"/>
  <c r="V18" i="2" s="1"/>
  <c r="S17" i="2"/>
  <c r="V17" i="2" s="1" a="1"/>
  <c r="V17" i="2" s="1"/>
  <c r="S15" i="2"/>
  <c r="V15" i="2" s="1" a="1"/>
  <c r="V15" i="2" s="1"/>
  <c r="S13" i="2"/>
  <c r="T13" i="2" s="1" a="1"/>
  <c r="T13" i="2" s="1"/>
  <c r="S12" i="2"/>
  <c r="T12" i="2" s="1" a="1"/>
  <c r="T12" i="2" s="1"/>
  <c r="S11" i="2"/>
  <c r="V11" i="2" s="1" a="1"/>
  <c r="V11" i="2" s="1"/>
  <c r="S10" i="2"/>
  <c r="V10" i="2" s="1" a="1"/>
  <c r="V10" i="2" s="1"/>
  <c r="S9" i="2"/>
  <c r="V9" i="2" s="1" a="1"/>
  <c r="V9" i="2" s="1"/>
  <c r="S8" i="2"/>
  <c r="T8" i="2" s="1" a="1"/>
  <c r="T8" i="2" s="1"/>
  <c r="S7" i="2"/>
  <c r="T7" i="2" s="1" a="1"/>
  <c r="T7" i="2" s="1"/>
  <c r="S6" i="2"/>
  <c r="V6" i="2" s="1" a="1"/>
  <c r="V6" i="2" s="1"/>
  <c r="S5" i="2"/>
  <c r="V5" i="2" s="1" a="1"/>
  <c r="V5" i="2" s="1"/>
  <c r="K103" i="5"/>
  <c r="J101" i="2"/>
  <c r="L101" i="2" s="1"/>
  <c r="K102" i="5"/>
  <c r="J100" i="2"/>
  <c r="L100" i="2" s="1"/>
  <c r="K101" i="5"/>
  <c r="J99" i="2"/>
  <c r="L99" i="2" s="1"/>
  <c r="K100" i="5"/>
  <c r="J98" i="2"/>
  <c r="L98" i="2" s="1"/>
  <c r="L96" i="2"/>
  <c r="O96" i="2" s="1" a="1"/>
  <c r="O96" i="2" s="1"/>
  <c r="K98" i="5"/>
  <c r="K97" i="5"/>
  <c r="J95" i="2"/>
  <c r="L95" i="2" s="1"/>
  <c r="L94" i="2"/>
  <c r="M94" i="2" s="1" a="1"/>
  <c r="M94" i="2" s="1"/>
  <c r="K96" i="5"/>
  <c r="K95" i="5"/>
  <c r="J93" i="2"/>
  <c r="L93" i="2" s="1"/>
  <c r="K94" i="5"/>
  <c r="J92" i="2"/>
  <c r="L92" i="2" s="1"/>
  <c r="K93" i="5"/>
  <c r="J91" i="2"/>
  <c r="L91" i="2" s="1"/>
  <c r="K92" i="5"/>
  <c r="J90" i="2"/>
  <c r="L90" i="2" s="1"/>
  <c r="K91" i="5"/>
  <c r="J89" i="2"/>
  <c r="L89" i="2" s="1"/>
  <c r="K90" i="5"/>
  <c r="J88" i="2"/>
  <c r="L88" i="2" s="1"/>
  <c r="K89" i="5"/>
  <c r="J87" i="2"/>
  <c r="L87" i="2" s="1"/>
  <c r="L86" i="2"/>
  <c r="M86" i="2" s="1" a="1"/>
  <c r="M86" i="2" s="1"/>
  <c r="K88" i="5"/>
  <c r="K87" i="5"/>
  <c r="J85" i="2"/>
  <c r="L85" i="2" s="1"/>
  <c r="K86" i="5"/>
  <c r="J84" i="2"/>
  <c r="L84" i="2" s="1"/>
  <c r="K85" i="5"/>
  <c r="J83" i="2"/>
  <c r="L83" i="2" s="1"/>
  <c r="K84" i="5"/>
  <c r="J82" i="2"/>
  <c r="L82" i="2" s="1"/>
  <c r="K83" i="5"/>
  <c r="J81" i="2"/>
  <c r="L81" i="2" s="1"/>
  <c r="L80" i="2"/>
  <c r="O80" i="2" s="1" a="1"/>
  <c r="O80" i="2" s="1"/>
  <c r="K82" i="5"/>
  <c r="L79" i="2"/>
  <c r="M79" i="2" s="1" a="1"/>
  <c r="M79" i="2" s="1"/>
  <c r="L78" i="2"/>
  <c r="O78" i="2" s="1" a="1"/>
  <c r="O78" i="2" s="1"/>
  <c r="K80" i="5"/>
  <c r="K79" i="5"/>
  <c r="J77" i="2"/>
  <c r="L77" i="2" s="1"/>
  <c r="L76" i="2"/>
  <c r="O76" i="2" s="1" a="1"/>
  <c r="O76" i="2" s="1"/>
  <c r="K78" i="5"/>
  <c r="K77" i="5"/>
  <c r="J75" i="2"/>
  <c r="L75" i="2" s="1"/>
  <c r="K76" i="5"/>
  <c r="J74" i="2"/>
  <c r="L74" i="2" s="1"/>
  <c r="K75" i="5"/>
  <c r="J73" i="2"/>
  <c r="L73" i="2" s="1"/>
  <c r="L72" i="2"/>
  <c r="O72" i="2" s="1" a="1"/>
  <c r="O72" i="2" s="1"/>
  <c r="K74" i="5"/>
  <c r="K73" i="5"/>
  <c r="J71" i="2"/>
  <c r="L71" i="2" s="1"/>
  <c r="K72" i="5"/>
  <c r="K70" i="2"/>
  <c r="L70" i="2" s="1"/>
  <c r="O70" i="2" s="1" a="1"/>
  <c r="O70" i="2" s="1"/>
  <c r="L68" i="2"/>
  <c r="O68" i="2" s="1" a="1"/>
  <c r="O68" i="2" s="1"/>
  <c r="K70" i="5"/>
  <c r="K69" i="5"/>
  <c r="J67" i="2"/>
  <c r="L67" i="2" s="1"/>
  <c r="K67" i="5"/>
  <c r="J65" i="2"/>
  <c r="L65" i="2" s="1"/>
  <c r="K66" i="5"/>
  <c r="J64" i="2"/>
  <c r="L64" i="2" s="1"/>
  <c r="K65" i="5"/>
  <c r="J63" i="2"/>
  <c r="L63" i="2" s="1"/>
  <c r="K64" i="5"/>
  <c r="K63" i="5"/>
  <c r="J61" i="2"/>
  <c r="L61" i="2" s="1"/>
  <c r="K62" i="5"/>
  <c r="J60" i="2"/>
  <c r="L60" i="2" s="1"/>
  <c r="K61" i="5"/>
  <c r="J59" i="2"/>
  <c r="L59" i="2" s="1"/>
  <c r="K60" i="5"/>
  <c r="J58" i="2"/>
  <c r="L58" i="2" s="1"/>
  <c r="K59" i="5"/>
  <c r="J57" i="2"/>
  <c r="L57" i="2" s="1"/>
  <c r="K58" i="5"/>
  <c r="J56" i="2"/>
  <c r="L56" i="2" s="1"/>
  <c r="K57" i="5"/>
  <c r="J55" i="2"/>
  <c r="L55" i="2" s="1"/>
  <c r="L54" i="2"/>
  <c r="M54" i="2" s="1" a="1"/>
  <c r="M54" i="2" s="1"/>
  <c r="K56" i="5"/>
  <c r="K55" i="5"/>
  <c r="J53" i="2"/>
  <c r="L53" i="2" s="1"/>
  <c r="K54" i="5"/>
  <c r="J52" i="2"/>
  <c r="L52" i="2" s="1"/>
  <c r="K53" i="5"/>
  <c r="J51" i="2"/>
  <c r="L51" i="2" s="1"/>
  <c r="K52" i="5"/>
  <c r="J50" i="2"/>
  <c r="L50" i="2" s="1"/>
  <c r="K51" i="5"/>
  <c r="J49" i="2"/>
  <c r="L49" i="2" s="1"/>
  <c r="L48" i="2"/>
  <c r="M48" i="2" s="1" a="1"/>
  <c r="M48" i="2" s="1"/>
  <c r="K50" i="5"/>
  <c r="L47" i="2"/>
  <c r="M47" i="2" s="1" a="1"/>
  <c r="M47" i="2" s="1"/>
  <c r="L46" i="2"/>
  <c r="M46" i="2" s="1" a="1"/>
  <c r="M46" i="2" s="1"/>
  <c r="K48" i="5"/>
  <c r="K47" i="5"/>
  <c r="J45" i="2"/>
  <c r="L45" i="2" s="1"/>
  <c r="K46" i="5"/>
  <c r="J44" i="2"/>
  <c r="L44" i="2" s="1"/>
  <c r="K45" i="5"/>
  <c r="J43" i="2"/>
  <c r="L43" i="2" s="1"/>
  <c r="K44" i="5"/>
  <c r="J42" i="2"/>
  <c r="L42" i="2" s="1"/>
  <c r="K43" i="5"/>
  <c r="J41" i="2"/>
  <c r="L41" i="2" s="1"/>
  <c r="K42" i="5"/>
  <c r="J40" i="2"/>
  <c r="L40" i="2" s="1"/>
  <c r="L39" i="2"/>
  <c r="M39" i="2" s="1" a="1"/>
  <c r="M39" i="2" s="1"/>
  <c r="K41" i="5"/>
  <c r="K40" i="5"/>
  <c r="J38" i="2"/>
  <c r="L38" i="2" s="1"/>
  <c r="K39" i="5"/>
  <c r="K38" i="5"/>
  <c r="J36" i="2"/>
  <c r="L36" i="2" s="1"/>
  <c r="K37" i="5"/>
  <c r="J35" i="2"/>
  <c r="L35" i="2" s="1"/>
  <c r="K36" i="5"/>
  <c r="J34" i="2"/>
  <c r="L34" i="2" s="1"/>
  <c r="K35" i="5"/>
  <c r="J33" i="2"/>
  <c r="L33" i="2" s="1"/>
  <c r="K34" i="5"/>
  <c r="J32" i="2"/>
  <c r="L32" i="2" s="1"/>
  <c r="K33" i="5"/>
  <c r="K32" i="5"/>
  <c r="J30" i="2"/>
  <c r="L30" i="2" s="1"/>
  <c r="K31" i="5"/>
  <c r="K30" i="5"/>
  <c r="J28" i="2"/>
  <c r="L28" i="2" s="1"/>
  <c r="K29" i="5"/>
  <c r="J27" i="2"/>
  <c r="L27" i="2" s="1"/>
  <c r="K28" i="5"/>
  <c r="J26" i="2"/>
  <c r="L26" i="2" s="1"/>
  <c r="K27" i="5"/>
  <c r="J25" i="2"/>
  <c r="L25" i="2" s="1"/>
  <c r="K26" i="5"/>
  <c r="J24" i="2"/>
  <c r="L24" i="2" s="1"/>
  <c r="L23" i="2"/>
  <c r="O23" i="2" s="1" a="1"/>
  <c r="O23" i="2" s="1"/>
  <c r="K25" i="5"/>
  <c r="K24" i="5"/>
  <c r="J22" i="2"/>
  <c r="L22" i="2" s="1"/>
  <c r="L21" i="2"/>
  <c r="M21" i="2" s="1" a="1"/>
  <c r="M21" i="2" s="1"/>
  <c r="K23" i="5"/>
  <c r="K22" i="5"/>
  <c r="J20" i="2"/>
  <c r="L20" i="2" s="1"/>
  <c r="L19" i="2"/>
  <c r="O19" i="2" s="1" a="1"/>
  <c r="O19" i="2" s="1"/>
  <c r="K20" i="5"/>
  <c r="J18" i="2"/>
  <c r="L18" i="2" s="1"/>
  <c r="L17" i="2"/>
  <c r="O17" i="2" s="1" a="1"/>
  <c r="O17" i="2" s="1"/>
  <c r="K18" i="5"/>
  <c r="J16" i="2"/>
  <c r="L16" i="2" s="1"/>
  <c r="L14" i="2"/>
  <c r="M14" i="2" s="1" a="1"/>
  <c r="M14" i="2" s="1"/>
  <c r="L13" i="2"/>
  <c r="M13" i="2" s="1" a="1"/>
  <c r="M13" i="2" s="1"/>
  <c r="L12" i="2"/>
  <c r="M12" i="2" s="1" a="1"/>
  <c r="M12" i="2" s="1"/>
  <c r="L11" i="2"/>
  <c r="M11" i="2" s="1" a="1"/>
  <c r="M11" i="2" s="1"/>
  <c r="L10" i="2"/>
  <c r="O10" i="2" s="1" a="1"/>
  <c r="O10" i="2" s="1"/>
  <c r="K12" i="5"/>
  <c r="L9" i="2"/>
  <c r="M9" i="2" s="1" a="1"/>
  <c r="M9" i="2" s="1"/>
  <c r="L8" i="2"/>
  <c r="M8" i="2" s="1" a="1"/>
  <c r="M8" i="2" s="1"/>
  <c r="L6" i="2"/>
  <c r="M6" i="2" s="1" a="1"/>
  <c r="M6" i="2" s="1"/>
  <c r="L5" i="2"/>
  <c r="M5" i="2" s="1" a="1"/>
  <c r="M5" i="2" s="1"/>
  <c r="L4" i="2"/>
  <c r="M4" i="2" s="1" a="1"/>
  <c r="M4" i="2" s="1"/>
  <c r="L3" i="2"/>
  <c r="K103" i="3"/>
  <c r="C101" i="2"/>
  <c r="E101" i="2" s="1"/>
  <c r="C100" i="2"/>
  <c r="E100" i="2" s="1"/>
  <c r="K102" i="3"/>
  <c r="E98" i="2"/>
  <c r="H98" i="2" s="1" a="1"/>
  <c r="H98" i="2" s="1"/>
  <c r="K99" i="3"/>
  <c r="C97" i="2"/>
  <c r="E97" i="2" s="1"/>
  <c r="K98" i="3"/>
  <c r="C96" i="2"/>
  <c r="E96" i="2" s="1"/>
  <c r="E95" i="2"/>
  <c r="F95" i="2" s="1" a="1"/>
  <c r="F95" i="2" s="1"/>
  <c r="K96" i="3"/>
  <c r="K95" i="3"/>
  <c r="E93" i="2"/>
  <c r="K94" i="3"/>
  <c r="C92" i="2"/>
  <c r="E92" i="2" s="1"/>
  <c r="E90" i="2"/>
  <c r="F90" i="2" s="1" a="1"/>
  <c r="F90" i="2" s="1"/>
  <c r="K92" i="3"/>
  <c r="K91" i="3"/>
  <c r="C89" i="2"/>
  <c r="E89" i="2" s="1"/>
  <c r="K90" i="3"/>
  <c r="C88" i="2"/>
  <c r="E88" i="2" s="1"/>
  <c r="E87" i="2"/>
  <c r="F87" i="2" s="1" a="1"/>
  <c r="F87" i="2" s="1"/>
  <c r="E86" i="2"/>
  <c r="F86" i="2" s="1" a="1"/>
  <c r="F86" i="2" s="1"/>
  <c r="K88" i="3"/>
  <c r="K87" i="3"/>
  <c r="C85" i="2"/>
  <c r="E85" i="2" s="1"/>
  <c r="C84" i="2"/>
  <c r="E84" i="2" s="1"/>
  <c r="K86" i="3"/>
  <c r="E82" i="2"/>
  <c r="H82" i="2" s="1" a="1"/>
  <c r="H82" i="2" s="1"/>
  <c r="K83" i="3"/>
  <c r="C81" i="2"/>
  <c r="E81" i="2" s="1"/>
  <c r="K82" i="3"/>
  <c r="C80" i="2"/>
  <c r="E80" i="2" s="1"/>
  <c r="E79" i="2"/>
  <c r="H79" i="2" s="1" a="1"/>
  <c r="H79" i="2" s="1"/>
  <c r="E78" i="2"/>
  <c r="H78" i="2" s="1" a="1"/>
  <c r="H78" i="2" s="1"/>
  <c r="K80" i="3"/>
  <c r="K79" i="3"/>
  <c r="C77" i="2"/>
  <c r="E77" i="2" s="1"/>
  <c r="K78" i="3"/>
  <c r="C76" i="2"/>
  <c r="E76" i="2" s="1"/>
  <c r="E75" i="2"/>
  <c r="H75" i="2" s="1" a="1"/>
  <c r="H75" i="2" s="1"/>
  <c r="K76" i="3"/>
  <c r="K75" i="3"/>
  <c r="C73" i="2"/>
  <c r="E73" i="2" s="1"/>
  <c r="K74" i="3"/>
  <c r="C72" i="2"/>
  <c r="E72" i="2" s="1"/>
  <c r="E71" i="2"/>
  <c r="F71" i="2" s="1" a="1"/>
  <c r="F71" i="2" s="1"/>
  <c r="E70" i="2"/>
  <c r="F70" i="2" s="1" a="1"/>
  <c r="F70" i="2" s="1"/>
  <c r="K72" i="3"/>
  <c r="K71" i="3"/>
  <c r="C69" i="2"/>
  <c r="E69" i="2" s="1"/>
  <c r="C68" i="2"/>
  <c r="E68" i="2" s="1"/>
  <c r="K70" i="3"/>
  <c r="E67" i="2"/>
  <c r="F67" i="2" s="1" a="1"/>
  <c r="F67" i="2" s="1"/>
  <c r="K67" i="3"/>
  <c r="C65" i="2"/>
  <c r="E65" i="2" s="1"/>
  <c r="K66" i="3"/>
  <c r="C64" i="2"/>
  <c r="E64" i="2" s="1"/>
  <c r="E63" i="2"/>
  <c r="H63" i="2" s="1" a="1"/>
  <c r="H63" i="2" s="1"/>
  <c r="E62" i="2"/>
  <c r="H62" i="2" s="1" a="1"/>
  <c r="H62" i="2" s="1"/>
  <c r="K64" i="3"/>
  <c r="K63" i="3"/>
  <c r="C61" i="2"/>
  <c r="E61" i="2" s="1"/>
  <c r="K62" i="3"/>
  <c r="C60" i="2"/>
  <c r="E60" i="2" s="1"/>
  <c r="E58" i="2"/>
  <c r="H58" i="2" s="1" a="1"/>
  <c r="H58" i="2" s="1"/>
  <c r="K60" i="3"/>
  <c r="K59" i="3"/>
  <c r="C57" i="2"/>
  <c r="E57" i="2" s="1"/>
  <c r="K58" i="3"/>
  <c r="C56" i="2"/>
  <c r="E56" i="2" s="1"/>
  <c r="E55" i="2"/>
  <c r="H55" i="2" s="1" a="1"/>
  <c r="H55" i="2" s="1"/>
  <c r="E54" i="2"/>
  <c r="H54" i="2" s="1" a="1"/>
  <c r="H54" i="2" s="1"/>
  <c r="K56" i="3"/>
  <c r="K55" i="3"/>
  <c r="C53" i="2"/>
  <c r="E53" i="2" s="1"/>
  <c r="C52" i="2"/>
  <c r="E52" i="2" s="1"/>
  <c r="K54" i="3"/>
  <c r="E50" i="2"/>
  <c r="H50" i="2" s="1" a="1"/>
  <c r="H50" i="2" s="1"/>
  <c r="K51" i="3"/>
  <c r="C49" i="2"/>
  <c r="E49" i="2" s="1"/>
  <c r="K50" i="3"/>
  <c r="C48" i="2"/>
  <c r="E48" i="2" s="1"/>
  <c r="E47" i="2"/>
  <c r="H47" i="2" s="1" a="1"/>
  <c r="H47" i="2" s="1"/>
  <c r="E46" i="2"/>
  <c r="F46" i="2" s="1" a="1"/>
  <c r="F46" i="2" s="1"/>
  <c r="K48" i="3"/>
  <c r="K47" i="3"/>
  <c r="C45" i="2"/>
  <c r="E45" i="2" s="1"/>
  <c r="K46" i="3"/>
  <c r="C44" i="2"/>
  <c r="E44" i="2" s="1"/>
  <c r="E42" i="2"/>
  <c r="H42" i="2" s="1" a="1"/>
  <c r="H42" i="2" s="1"/>
  <c r="K44" i="3"/>
  <c r="K43" i="3"/>
  <c r="C41" i="2"/>
  <c r="E41" i="2" s="1"/>
  <c r="K42" i="3"/>
  <c r="C40" i="2"/>
  <c r="E40" i="2" s="1"/>
  <c r="E39" i="2"/>
  <c r="H39" i="2" s="1" a="1"/>
  <c r="H39" i="2" s="1"/>
  <c r="E38" i="2"/>
  <c r="F38" i="2" s="1" a="1"/>
  <c r="F38" i="2" s="1"/>
  <c r="K40" i="3"/>
  <c r="K39" i="3"/>
  <c r="C37" i="2"/>
  <c r="E37" i="2" s="1"/>
  <c r="C36" i="2"/>
  <c r="E36" i="2" s="1"/>
  <c r="K38" i="3"/>
  <c r="E35" i="2"/>
  <c r="H35" i="2" s="1" a="1"/>
  <c r="H35" i="2" s="1"/>
  <c r="E34" i="2"/>
  <c r="H34" i="2" s="1" a="1"/>
  <c r="H34" i="2" s="1"/>
  <c r="K35" i="3"/>
  <c r="C33" i="2"/>
  <c r="E33" i="2" s="1"/>
  <c r="K34" i="3"/>
  <c r="C32" i="2"/>
  <c r="E32" i="2" s="1"/>
  <c r="E31" i="2"/>
  <c r="F31" i="2" s="1" a="1"/>
  <c r="F31" i="2" s="1"/>
  <c r="E30" i="2"/>
  <c r="F30" i="2" s="1" a="1"/>
  <c r="F30" i="2" s="1"/>
  <c r="K32" i="3"/>
  <c r="K31" i="3"/>
  <c r="C29" i="2"/>
  <c r="E29" i="2" s="1"/>
  <c r="K30" i="3"/>
  <c r="C28" i="2"/>
  <c r="E28" i="2" s="1"/>
  <c r="E26" i="2"/>
  <c r="F26" i="2" s="1" a="1"/>
  <c r="F26" i="2" s="1"/>
  <c r="K28" i="3"/>
  <c r="K27" i="3"/>
  <c r="C25" i="2"/>
  <c r="E25" i="2" s="1"/>
  <c r="K26" i="3"/>
  <c r="C24" i="2"/>
  <c r="E24" i="2" s="1"/>
  <c r="E23" i="2"/>
  <c r="F23" i="2" s="1" a="1"/>
  <c r="F23" i="2" s="1"/>
  <c r="E22" i="2"/>
  <c r="F22" i="2" s="1" a="1"/>
  <c r="F22" i="2" s="1"/>
  <c r="K24" i="3"/>
  <c r="E21" i="2"/>
  <c r="F21" i="2" s="1" a="1"/>
  <c r="F21" i="2" s="1"/>
  <c r="E20" i="2"/>
  <c r="H20" i="2" s="1" a="1"/>
  <c r="H20" i="2" s="1"/>
  <c r="E19" i="2"/>
  <c r="F19" i="2" s="1" a="1"/>
  <c r="F19" i="2" s="1"/>
  <c r="E17" i="2"/>
  <c r="H17" i="2" s="1" a="1"/>
  <c r="H17" i="2" s="1"/>
  <c r="E15" i="2"/>
  <c r="F15" i="2" s="1" a="1"/>
  <c r="F15" i="2" s="1"/>
  <c r="E14" i="2"/>
  <c r="F14" i="2" s="1" a="1"/>
  <c r="F14" i="2" s="1"/>
  <c r="E13" i="2"/>
  <c r="H13" i="2" s="1" a="1"/>
  <c r="H13" i="2" s="1"/>
  <c r="E10" i="2"/>
  <c r="H10" i="2" s="1" a="1"/>
  <c r="H10" i="2" s="1"/>
  <c r="E9" i="2"/>
  <c r="E8" i="2"/>
  <c r="H8" i="2" s="1" a="1"/>
  <c r="E7" i="2"/>
  <c r="H7" i="2" s="1" a="1"/>
  <c r="E5" i="2"/>
  <c r="F5" i="2" s="1" a="1"/>
  <c r="E4" i="2"/>
  <c r="H4" i="2" s="1" a="1"/>
  <c r="BU4" i="2"/>
  <c r="BV5" i="2"/>
  <c r="CA5" i="2"/>
  <c r="BW6" i="2"/>
  <c r="BX7" i="2"/>
  <c r="BU8" i="2"/>
  <c r="BV9" i="2"/>
  <c r="CA9" i="2"/>
  <c r="BW10" i="2"/>
  <c r="BX11" i="2"/>
  <c r="BU12" i="2"/>
  <c r="BV13" i="2"/>
  <c r="CA13" i="2"/>
  <c r="BW14" i="2"/>
  <c r="BX15" i="2"/>
  <c r="BU16" i="2"/>
  <c r="BV17" i="2"/>
  <c r="CA17" i="2"/>
  <c r="BW18" i="2"/>
  <c r="BX19" i="2"/>
  <c r="BU20" i="2"/>
  <c r="BV21" i="2"/>
  <c r="CA21" i="2"/>
  <c r="BW22" i="2"/>
  <c r="BX23" i="2"/>
  <c r="BU24" i="2"/>
  <c r="BV25" i="2"/>
  <c r="CA25" i="2"/>
  <c r="BW26" i="2"/>
  <c r="BX27" i="2"/>
  <c r="BU28" i="2"/>
  <c r="BV29" i="2"/>
  <c r="CA29" i="2"/>
  <c r="BW30" i="2"/>
  <c r="BX31" i="2"/>
  <c r="BU32" i="2"/>
  <c r="BV33" i="2"/>
  <c r="CA33" i="2"/>
  <c r="BW34" i="2"/>
  <c r="BX35" i="2"/>
  <c r="BU36" i="2"/>
  <c r="BV37" i="2"/>
  <c r="CA37" i="2"/>
  <c r="BW38" i="2"/>
  <c r="BX39" i="2"/>
  <c r="BU40" i="2"/>
  <c r="BV41" i="2"/>
  <c r="CA41" i="2"/>
  <c r="BW42" i="2"/>
  <c r="BX43" i="2"/>
  <c r="BU44" i="2"/>
  <c r="BV45" i="2"/>
  <c r="CA45" i="2"/>
  <c r="BW46" i="2"/>
  <c r="BX47" i="2"/>
  <c r="BU48" i="2"/>
  <c r="BV49" i="2"/>
  <c r="CA49" i="2"/>
  <c r="BW50" i="2"/>
  <c r="BX51" i="2"/>
  <c r="BV4" i="2"/>
  <c r="CA4" i="2"/>
  <c r="BW5" i="2"/>
  <c r="BX6" i="2"/>
  <c r="BU7" i="2"/>
  <c r="BV8" i="2"/>
  <c r="CA8" i="2"/>
  <c r="BW9" i="2"/>
  <c r="BX10" i="2"/>
  <c r="BV12" i="2"/>
  <c r="CA12" i="2"/>
  <c r="BW13" i="2"/>
  <c r="BX14" i="2"/>
  <c r="BU15" i="2"/>
  <c r="BV16" i="2"/>
  <c r="CA16" i="2"/>
  <c r="BW17" i="2"/>
  <c r="BX18" i="2"/>
  <c r="BU19" i="2"/>
  <c r="BV20" i="2"/>
  <c r="CA20" i="2"/>
  <c r="BW21" i="2"/>
  <c r="BX22" i="2"/>
  <c r="BU23" i="2"/>
  <c r="BV24" i="2"/>
  <c r="CA24" i="2"/>
  <c r="BW25" i="2"/>
  <c r="BX26" i="2"/>
  <c r="BU27" i="2"/>
  <c r="BV28" i="2"/>
  <c r="CA28" i="2"/>
  <c r="BW29" i="2"/>
  <c r="BX30" i="2"/>
  <c r="BU31" i="2"/>
  <c r="BV32" i="2"/>
  <c r="CA32" i="2"/>
  <c r="BW33" i="2"/>
  <c r="BX34" i="2"/>
  <c r="BU35" i="2"/>
  <c r="BV36" i="2"/>
  <c r="CA36" i="2"/>
  <c r="BW37" i="2"/>
  <c r="BX38" i="2"/>
  <c r="BU39" i="2"/>
  <c r="BV40" i="2"/>
  <c r="CA40" i="2"/>
  <c r="BW41" i="2"/>
  <c r="BX42" i="2"/>
  <c r="BU43" i="2"/>
  <c r="BV44" i="2"/>
  <c r="CA44" i="2"/>
  <c r="BW45" i="2"/>
  <c r="BX46" i="2"/>
  <c r="BU47" i="2"/>
  <c r="BV48" i="2"/>
  <c r="CA48" i="2"/>
  <c r="BW49" i="2"/>
  <c r="BX50" i="2"/>
  <c r="BU51" i="2"/>
  <c r="BV52" i="2"/>
  <c r="BW4" i="2"/>
  <c r="BX5" i="2"/>
  <c r="BU6" i="2"/>
  <c r="BV7" i="2"/>
  <c r="CA7" i="2"/>
  <c r="BW8" i="2"/>
  <c r="BX9" i="2"/>
  <c r="BU10" i="2"/>
  <c r="CA11" i="2"/>
  <c r="BW12" i="2"/>
  <c r="BX13" i="2"/>
  <c r="BU14" i="2"/>
  <c r="BV15" i="2"/>
  <c r="CA15" i="2"/>
  <c r="BW16" i="2"/>
  <c r="BX17" i="2"/>
  <c r="BU18" i="2"/>
  <c r="BV19" i="2"/>
  <c r="CA19" i="2"/>
  <c r="BW20" i="2"/>
  <c r="BX21" i="2"/>
  <c r="BU22" i="2"/>
  <c r="BV23" i="2"/>
  <c r="CA23" i="2"/>
  <c r="BW24" i="2"/>
  <c r="BX25" i="2"/>
  <c r="BU26" i="2"/>
  <c r="BV27" i="2"/>
  <c r="CA27" i="2"/>
  <c r="BW28" i="2"/>
  <c r="BX29" i="2"/>
  <c r="BU30" i="2"/>
  <c r="BV31" i="2"/>
  <c r="CA31" i="2"/>
  <c r="BW32" i="2"/>
  <c r="BX33" i="2"/>
  <c r="BU34" i="2"/>
  <c r="BV35" i="2"/>
  <c r="CA35" i="2"/>
  <c r="BW36" i="2"/>
  <c r="BX37" i="2"/>
  <c r="BU38" i="2"/>
  <c r="BV39" i="2"/>
  <c r="CA39" i="2"/>
  <c r="BW40" i="2"/>
  <c r="BX41" i="2"/>
  <c r="BU42" i="2"/>
  <c r="BV43" i="2"/>
  <c r="CA43" i="2"/>
  <c r="BW44" i="2"/>
  <c r="BX45" i="2"/>
  <c r="BU46" i="2"/>
  <c r="BV47" i="2"/>
  <c r="CA47" i="2"/>
  <c r="BW48" i="2"/>
  <c r="BX49" i="2"/>
  <c r="BU50" i="2"/>
  <c r="BV51" i="2"/>
  <c r="CA51" i="2"/>
  <c r="BW52" i="2"/>
  <c r="BX4" i="2"/>
  <c r="CA6" i="2"/>
  <c r="BU9" i="2"/>
  <c r="BW11" i="2"/>
  <c r="BV18" i="2"/>
  <c r="BX20" i="2"/>
  <c r="CA22" i="2"/>
  <c r="BU25" i="2"/>
  <c r="BW27" i="2"/>
  <c r="BV34" i="2"/>
  <c r="BX36" i="2"/>
  <c r="CA38" i="2"/>
  <c r="BU41" i="2"/>
  <c r="BW43" i="2"/>
  <c r="BV50" i="2"/>
  <c r="BU52" i="2"/>
  <c r="BX53" i="2"/>
  <c r="BU54" i="2"/>
  <c r="BV55" i="2"/>
  <c r="CA55" i="2"/>
  <c r="BW56" i="2"/>
  <c r="BX57" i="2"/>
  <c r="BU58" i="2"/>
  <c r="BV59" i="2"/>
  <c r="CA59" i="2"/>
  <c r="BW60" i="2"/>
  <c r="BX61" i="2"/>
  <c r="BU62" i="2"/>
  <c r="BV63" i="2"/>
  <c r="CA63" i="2"/>
  <c r="BW64" i="2"/>
  <c r="BX65" i="2"/>
  <c r="BU66" i="2"/>
  <c r="BV67" i="2"/>
  <c r="CA67" i="2"/>
  <c r="BW68" i="2"/>
  <c r="BX69" i="2"/>
  <c r="BU70" i="2"/>
  <c r="BV71" i="2"/>
  <c r="CA71" i="2"/>
  <c r="BW72" i="2"/>
  <c r="BX73" i="2"/>
  <c r="BU74" i="2"/>
  <c r="BV75" i="2"/>
  <c r="CA75" i="2"/>
  <c r="BW76" i="2"/>
  <c r="BX77" i="2"/>
  <c r="BU78" i="2"/>
  <c r="BV79" i="2"/>
  <c r="CA79" i="2"/>
  <c r="BW80" i="2"/>
  <c r="BX81" i="2"/>
  <c r="BU82" i="2"/>
  <c r="BV83" i="2"/>
  <c r="CA83" i="2"/>
  <c r="BW84" i="2"/>
  <c r="BX85" i="2"/>
  <c r="BU86" i="2"/>
  <c r="BV87" i="2"/>
  <c r="CA87" i="2"/>
  <c r="BW88" i="2"/>
  <c r="BU5" i="2"/>
  <c r="BW7" i="2"/>
  <c r="BV14" i="2"/>
  <c r="BX16" i="2"/>
  <c r="CA18" i="2"/>
  <c r="BU21" i="2"/>
  <c r="BW23" i="2"/>
  <c r="BV30" i="2"/>
  <c r="BX32" i="2"/>
  <c r="CA34" i="2"/>
  <c r="BU37" i="2"/>
  <c r="BW39" i="2"/>
  <c r="BV46" i="2"/>
  <c r="BX48" i="2"/>
  <c r="CA50" i="2"/>
  <c r="BX52" i="2"/>
  <c r="BU53" i="2"/>
  <c r="BV54" i="2"/>
  <c r="CA54" i="2"/>
  <c r="BW55" i="2"/>
  <c r="BX56" i="2"/>
  <c r="BU57" i="2"/>
  <c r="BV58" i="2"/>
  <c r="CA58" i="2"/>
  <c r="BW59" i="2"/>
  <c r="BX60" i="2"/>
  <c r="BU61" i="2"/>
  <c r="BV62" i="2"/>
  <c r="CA62" i="2"/>
  <c r="BW63" i="2"/>
  <c r="BX64" i="2"/>
  <c r="BU65" i="2"/>
  <c r="BV66" i="2"/>
  <c r="CA66" i="2"/>
  <c r="BW67" i="2"/>
  <c r="BX68" i="2"/>
  <c r="BU69" i="2"/>
  <c r="BV70" i="2"/>
  <c r="CA70" i="2"/>
  <c r="BW71" i="2"/>
  <c r="BX72" i="2"/>
  <c r="BU73" i="2"/>
  <c r="BV74" i="2"/>
  <c r="CA74" i="2"/>
  <c r="BW75" i="2"/>
  <c r="BX76" i="2"/>
  <c r="BU77" i="2"/>
  <c r="BV78" i="2"/>
  <c r="CA78" i="2"/>
  <c r="BW79" i="2"/>
  <c r="BX80" i="2"/>
  <c r="BU81" i="2"/>
  <c r="BV82" i="2"/>
  <c r="CA82" i="2"/>
  <c r="BW83" i="2"/>
  <c r="BX84" i="2"/>
  <c r="BU85" i="2"/>
  <c r="BV86" i="2"/>
  <c r="CA86" i="2"/>
  <c r="BW87" i="2"/>
  <c r="BX88" i="2"/>
  <c r="BX8" i="2"/>
  <c r="BU13" i="2"/>
  <c r="BV22" i="2"/>
  <c r="CA26" i="2"/>
  <c r="BW31" i="2"/>
  <c r="BX40" i="2"/>
  <c r="BU45" i="2"/>
  <c r="CA52" i="2"/>
  <c r="BU55" i="2"/>
  <c r="BV56" i="2"/>
  <c r="BW57" i="2"/>
  <c r="BX58" i="2"/>
  <c r="CA60" i="2"/>
  <c r="BU63" i="2"/>
  <c r="BV64" i="2"/>
  <c r="BW65" i="2"/>
  <c r="BX66" i="2"/>
  <c r="CA68" i="2"/>
  <c r="BU71" i="2"/>
  <c r="BV72" i="2"/>
  <c r="BW73" i="2"/>
  <c r="BX74" i="2"/>
  <c r="CA76" i="2"/>
  <c r="BU79" i="2"/>
  <c r="BV80" i="2"/>
  <c r="BW81" i="2"/>
  <c r="BX82" i="2"/>
  <c r="CA84" i="2"/>
  <c r="BU87" i="2"/>
  <c r="BV88" i="2"/>
  <c r="BU89" i="2"/>
  <c r="BV90" i="2"/>
  <c r="CA90" i="2"/>
  <c r="BW91" i="2"/>
  <c r="BX92" i="2"/>
  <c r="BU93" i="2"/>
  <c r="BV94" i="2"/>
  <c r="CA94" i="2"/>
  <c r="BW95" i="2"/>
  <c r="BX96" i="2"/>
  <c r="BU97" i="2"/>
  <c r="BV98" i="2"/>
  <c r="CA98" i="2"/>
  <c r="BW99" i="2"/>
  <c r="BX100" i="2"/>
  <c r="BU101" i="2"/>
  <c r="CA30" i="2"/>
  <c r="BX44" i="2"/>
  <c r="BU56" i="2"/>
  <c r="BW58" i="2"/>
  <c r="CA61" i="2"/>
  <c r="BU64" i="2"/>
  <c r="BV65" i="2"/>
  <c r="BW74" i="2"/>
  <c r="CA77" i="2"/>
  <c r="BU80" i="2"/>
  <c r="BW82" i="2"/>
  <c r="CA85" i="2"/>
  <c r="BV10" i="2"/>
  <c r="CA14" i="2"/>
  <c r="BW19" i="2"/>
  <c r="BX28" i="2"/>
  <c r="BU33" i="2"/>
  <c r="BV42" i="2"/>
  <c r="CA46" i="2"/>
  <c r="BW51" i="2"/>
  <c r="BV53" i="2"/>
  <c r="BW54" i="2"/>
  <c r="BX55" i="2"/>
  <c r="CA57" i="2"/>
  <c r="BU60" i="2"/>
  <c r="BV61" i="2"/>
  <c r="BW62" i="2"/>
  <c r="BX63" i="2"/>
  <c r="CA65" i="2"/>
  <c r="BU68" i="2"/>
  <c r="BV69" i="2"/>
  <c r="BW70" i="2"/>
  <c r="BX71" i="2"/>
  <c r="CA73" i="2"/>
  <c r="BU76" i="2"/>
  <c r="BV77" i="2"/>
  <c r="BW78" i="2"/>
  <c r="BX79" i="2"/>
  <c r="CA81" i="2"/>
  <c r="BU84" i="2"/>
  <c r="BV85" i="2"/>
  <c r="BW86" i="2"/>
  <c r="BX87" i="2"/>
  <c r="BV89" i="2"/>
  <c r="CA89" i="2"/>
  <c r="BW90" i="2"/>
  <c r="BX91" i="2"/>
  <c r="BU92" i="2"/>
  <c r="BV93" i="2"/>
  <c r="CA93" i="2"/>
  <c r="BW94" i="2"/>
  <c r="BX95" i="2"/>
  <c r="BU96" i="2"/>
  <c r="BV97" i="2"/>
  <c r="CA97" i="2"/>
  <c r="BW98" i="2"/>
  <c r="BX99" i="2"/>
  <c r="BU100" i="2"/>
  <c r="BV101" i="2"/>
  <c r="CA101" i="2"/>
  <c r="BX12" i="2"/>
  <c r="BV26" i="2"/>
  <c r="BW35" i="2"/>
  <c r="BU49" i="2"/>
  <c r="CA53" i="2"/>
  <c r="BV57" i="2"/>
  <c r="BX59" i="2"/>
  <c r="BW66" i="2"/>
  <c r="CA69" i="2"/>
  <c r="BU72" i="2"/>
  <c r="BX75" i="2"/>
  <c r="BX83" i="2"/>
  <c r="BU90" i="2"/>
  <c r="CA91" i="2"/>
  <c r="BX93" i="2"/>
  <c r="BV6" i="2"/>
  <c r="CA10" i="2"/>
  <c r="BW15" i="2"/>
  <c r="BX24" i="2"/>
  <c r="BU29" i="2"/>
  <c r="BV38" i="2"/>
  <c r="CA42" i="2"/>
  <c r="BW47" i="2"/>
  <c r="BW53" i="2"/>
  <c r="BX54" i="2"/>
  <c r="CA56" i="2"/>
  <c r="BU59" i="2"/>
  <c r="BV60" i="2"/>
  <c r="BW61" i="2"/>
  <c r="BX62" i="2"/>
  <c r="CA64" i="2"/>
  <c r="BU67" i="2"/>
  <c r="BV68" i="2"/>
  <c r="BW69" i="2"/>
  <c r="BX70" i="2"/>
  <c r="CA72" i="2"/>
  <c r="BU75" i="2"/>
  <c r="BV76" i="2"/>
  <c r="BW77" i="2"/>
  <c r="BX78" i="2"/>
  <c r="CA80" i="2"/>
  <c r="BU83" i="2"/>
  <c r="BV84" i="2"/>
  <c r="BW85" i="2"/>
  <c r="BX86" i="2"/>
  <c r="CA88" i="2"/>
  <c r="BW89" i="2"/>
  <c r="BX90" i="2"/>
  <c r="BU91" i="2"/>
  <c r="BV92" i="2"/>
  <c r="CA92" i="2"/>
  <c r="BW93" i="2"/>
  <c r="BX94" i="2"/>
  <c r="BU95" i="2"/>
  <c r="BV96" i="2"/>
  <c r="CA96" i="2"/>
  <c r="BW97" i="2"/>
  <c r="BX98" i="2"/>
  <c r="BU99" i="2"/>
  <c r="BV100" i="2"/>
  <c r="CA100" i="2"/>
  <c r="BW101" i="2"/>
  <c r="CA3" i="2"/>
  <c r="BU17" i="2"/>
  <c r="BX67" i="2"/>
  <c r="BV73" i="2"/>
  <c r="BV81" i="2"/>
  <c r="BU88" i="2"/>
  <c r="BX89" i="2"/>
  <c r="BV91" i="2"/>
  <c r="BW92" i="2"/>
  <c r="BU94" i="2"/>
  <c r="BV99" i="2"/>
  <c r="BX101" i="2"/>
  <c r="BV95" i="2"/>
  <c r="BX97" i="2"/>
  <c r="CA99" i="2"/>
  <c r="BW96" i="2"/>
  <c r="CA95" i="2"/>
  <c r="BU98" i="2"/>
  <c r="BW100" i="2"/>
  <c r="BU3" i="2"/>
  <c r="BW3" i="2"/>
  <c r="K10" i="12"/>
  <c r="K15" i="12"/>
  <c r="K9" i="12"/>
  <c r="K12" i="12"/>
  <c r="K5" i="12"/>
  <c r="BG3" i="2"/>
  <c r="BI3" i="2" s="1"/>
  <c r="K8" i="12"/>
  <c r="K13" i="12"/>
  <c r="K7" i="12"/>
  <c r="K6" i="12"/>
  <c r="K11" i="12"/>
  <c r="K14" i="12"/>
  <c r="K5" i="10"/>
  <c r="K13" i="10"/>
  <c r="K8" i="10"/>
  <c r="K7" i="10"/>
  <c r="K9" i="10"/>
  <c r="K12" i="10"/>
  <c r="K10" i="10"/>
  <c r="K6" i="8"/>
  <c r="K14" i="8"/>
  <c r="K8" i="8"/>
  <c r="K9" i="8"/>
  <c r="K11" i="8"/>
  <c r="K13" i="8"/>
  <c r="K12" i="8"/>
  <c r="K7" i="8"/>
  <c r="K10" i="8"/>
  <c r="K15" i="9"/>
  <c r="K5" i="9"/>
  <c r="AL3" i="2"/>
  <c r="AN3" i="2" s="1"/>
  <c r="K9" i="9"/>
  <c r="K11" i="9"/>
  <c r="K7" i="9"/>
  <c r="K6" i="9"/>
  <c r="K8" i="9"/>
  <c r="K10" i="9"/>
  <c r="K12" i="9"/>
  <c r="K7" i="11"/>
  <c r="K9" i="11"/>
  <c r="K11" i="11"/>
  <c r="K16" i="11"/>
  <c r="K5" i="11"/>
  <c r="AE3" i="2"/>
  <c r="AG3" i="2" s="1"/>
  <c r="K6" i="11"/>
  <c r="K13" i="11"/>
  <c r="K8" i="11"/>
  <c r="K10" i="11"/>
  <c r="K15" i="11"/>
  <c r="K17" i="11"/>
  <c r="K13" i="7"/>
  <c r="K11" i="7"/>
  <c r="K7" i="7"/>
  <c r="K9" i="7"/>
  <c r="K22" i="6"/>
  <c r="S3" i="2"/>
  <c r="T3" i="2" s="1" a="1"/>
  <c r="K18" i="6"/>
  <c r="K26" i="6"/>
  <c r="K6" i="6"/>
  <c r="K14" i="6"/>
  <c r="K10" i="6"/>
  <c r="K15" i="5"/>
  <c r="K17" i="5"/>
  <c r="K19" i="5"/>
  <c r="K21" i="5"/>
  <c r="K13" i="5"/>
  <c r="K8" i="5"/>
  <c r="K6" i="5"/>
  <c r="K10" i="5"/>
  <c r="K14" i="5"/>
  <c r="K16" i="3"/>
  <c r="K12" i="3"/>
  <c r="K22" i="3"/>
  <c r="K10" i="3"/>
  <c r="K18" i="3"/>
  <c r="K14" i="3"/>
  <c r="K15" i="3"/>
  <c r="K23" i="3"/>
  <c r="K19" i="3"/>
  <c r="K11" i="3"/>
  <c r="K7" i="3"/>
  <c r="K6" i="10"/>
  <c r="K12" i="6"/>
  <c r="K20" i="6"/>
  <c r="K28" i="6"/>
  <c r="K36" i="6"/>
  <c r="K44" i="6"/>
  <c r="K49" i="6"/>
  <c r="K51" i="6"/>
  <c r="K52" i="6"/>
  <c r="K54" i="6"/>
  <c r="K56" i="6"/>
  <c r="K58" i="6"/>
  <c r="K63" i="6"/>
  <c r="K65" i="6"/>
  <c r="K69" i="6"/>
  <c r="K73" i="6"/>
  <c r="K77" i="6"/>
  <c r="K81" i="6"/>
  <c r="K85" i="6"/>
  <c r="K89" i="6"/>
  <c r="K93" i="6"/>
  <c r="K97" i="6"/>
  <c r="K103" i="6"/>
  <c r="K8" i="6"/>
  <c r="K16" i="6"/>
  <c r="K24" i="6"/>
  <c r="K32" i="6"/>
  <c r="K40" i="6"/>
  <c r="K48" i="6"/>
  <c r="K50" i="6"/>
  <c r="K55" i="6"/>
  <c r="K57" i="6"/>
  <c r="K59" i="6"/>
  <c r="K60" i="6"/>
  <c r="K62" i="6"/>
  <c r="K64" i="6"/>
  <c r="K66" i="6"/>
  <c r="K68" i="6"/>
  <c r="K70" i="6"/>
  <c r="K72" i="6"/>
  <c r="K74" i="6"/>
  <c r="K76" i="6"/>
  <c r="K78" i="6"/>
  <c r="K80" i="6"/>
  <c r="K82" i="6"/>
  <c r="K84" i="6"/>
  <c r="K86" i="6"/>
  <c r="K88" i="6"/>
  <c r="K90" i="6"/>
  <c r="K92" i="6"/>
  <c r="K96" i="6"/>
  <c r="K100" i="6"/>
  <c r="K102" i="6"/>
  <c r="K5" i="8"/>
  <c r="AS3" i="2"/>
  <c r="AU3" i="2" s="1"/>
  <c r="A3" i="2"/>
  <c r="BX3" i="2"/>
  <c r="BV3" i="2"/>
  <c r="K6" i="3"/>
  <c r="K66" i="12"/>
  <c r="K70" i="12"/>
  <c r="K74" i="12"/>
  <c r="K78" i="12"/>
  <c r="K82" i="12"/>
  <c r="K86" i="12"/>
  <c r="K90" i="12"/>
  <c r="K94" i="12"/>
  <c r="K98" i="12"/>
  <c r="K101" i="12"/>
  <c r="K51" i="12"/>
  <c r="K59" i="12"/>
  <c r="K69" i="12"/>
  <c r="K73" i="12"/>
  <c r="K77" i="12"/>
  <c r="K81" i="12"/>
  <c r="K85" i="12"/>
  <c r="K89" i="12"/>
  <c r="K93" i="12"/>
  <c r="K97" i="12"/>
  <c r="K103" i="12"/>
  <c r="K53" i="12"/>
  <c r="K61" i="12"/>
  <c r="K68" i="12"/>
  <c r="K72" i="12"/>
  <c r="K76" i="12"/>
  <c r="K80" i="12"/>
  <c r="K84" i="12"/>
  <c r="K88" i="12"/>
  <c r="K92" i="12"/>
  <c r="K96" i="12"/>
  <c r="K55" i="11"/>
  <c r="K63" i="11"/>
  <c r="K70" i="11"/>
  <c r="K79" i="11"/>
  <c r="K50" i="11"/>
  <c r="K54" i="11"/>
  <c r="K59" i="11"/>
  <c r="K66" i="11"/>
  <c r="K75" i="11"/>
  <c r="K60" i="11"/>
  <c r="K64" i="11"/>
  <c r="K68" i="11"/>
  <c r="K72" i="11"/>
  <c r="K76" i="11"/>
  <c r="K80" i="11"/>
  <c r="K84" i="11"/>
  <c r="K91" i="11"/>
  <c r="K99" i="11"/>
  <c r="K83" i="11"/>
  <c r="K87" i="11"/>
  <c r="K93" i="11"/>
  <c r="K101" i="11"/>
  <c r="K58" i="10"/>
  <c r="K67" i="10"/>
  <c r="K74" i="10"/>
  <c r="K11" i="10"/>
  <c r="K19" i="10"/>
  <c r="K27" i="10"/>
  <c r="K35" i="10"/>
  <c r="K43" i="10"/>
  <c r="K60" i="10"/>
  <c r="K64" i="10"/>
  <c r="K68" i="10"/>
  <c r="K72" i="10"/>
  <c r="K76" i="10"/>
  <c r="K80" i="10"/>
  <c r="K84" i="10"/>
  <c r="K88" i="10"/>
  <c r="K92" i="10"/>
  <c r="K99" i="10"/>
  <c r="K91" i="10"/>
  <c r="K95" i="10"/>
  <c r="K101" i="10"/>
  <c r="K51" i="9"/>
  <c r="K54" i="9"/>
  <c r="K65" i="9"/>
  <c r="K72" i="9"/>
  <c r="K78" i="9"/>
  <c r="K14" i="9"/>
  <c r="K22" i="9"/>
  <c r="K30" i="9"/>
  <c r="K38" i="9"/>
  <c r="K46" i="9"/>
  <c r="K50" i="9"/>
  <c r="K56" i="9"/>
  <c r="K70" i="9"/>
  <c r="K56" i="8"/>
  <c r="K60" i="8"/>
  <c r="K64" i="8"/>
  <c r="K68" i="8"/>
  <c r="K72" i="8"/>
  <c r="K76" i="8"/>
  <c r="K80" i="8"/>
  <c r="K84" i="8"/>
  <c r="K88" i="8"/>
  <c r="K92" i="8"/>
  <c r="K96" i="8"/>
  <c r="K100" i="8"/>
  <c r="K54" i="8"/>
  <c r="K58" i="8"/>
  <c r="K62" i="8"/>
  <c r="K66" i="8"/>
  <c r="K70" i="8"/>
  <c r="K74" i="8"/>
  <c r="K78" i="8"/>
  <c r="K82" i="8"/>
  <c r="K86" i="8"/>
  <c r="K90" i="8"/>
  <c r="K94" i="8"/>
  <c r="K98" i="8"/>
  <c r="K102" i="8"/>
  <c r="K6" i="7"/>
  <c r="K8" i="7"/>
  <c r="K10" i="7"/>
  <c r="K12" i="7"/>
  <c r="K14" i="7"/>
  <c r="K16" i="7"/>
  <c r="K18" i="7"/>
  <c r="K20" i="7"/>
  <c r="K22" i="7"/>
  <c r="K24" i="7"/>
  <c r="K26" i="7"/>
  <c r="K28" i="7"/>
  <c r="K30" i="7"/>
  <c r="K32" i="7"/>
  <c r="K34" i="7"/>
  <c r="K36" i="7"/>
  <c r="K38" i="7"/>
  <c r="K40" i="7"/>
  <c r="K42" i="7"/>
  <c r="K44" i="7"/>
  <c r="K46" i="7"/>
  <c r="K59" i="7"/>
  <c r="K74" i="7"/>
  <c r="K51" i="7"/>
  <c r="K66" i="7"/>
  <c r="K48" i="7"/>
  <c r="K56" i="7"/>
  <c r="K64" i="7"/>
  <c r="K72" i="7"/>
  <c r="K5" i="6"/>
  <c r="K7" i="6"/>
  <c r="K9" i="6"/>
  <c r="K11" i="6"/>
  <c r="K13" i="6"/>
  <c r="K15" i="6"/>
  <c r="K17" i="6"/>
  <c r="K19" i="6"/>
  <c r="K21" i="6"/>
  <c r="K23" i="6"/>
  <c r="K25" i="6"/>
  <c r="K27" i="6"/>
  <c r="K29" i="6"/>
  <c r="K31" i="6"/>
  <c r="K33" i="6"/>
  <c r="K35" i="6"/>
  <c r="K37" i="6"/>
  <c r="K39" i="6"/>
  <c r="K41" i="6"/>
  <c r="K43" i="6"/>
  <c r="K45" i="6"/>
  <c r="K47" i="6"/>
  <c r="K53" i="6"/>
  <c r="K61" i="6"/>
  <c r="K67" i="6"/>
  <c r="K71" i="6"/>
  <c r="K75" i="6"/>
  <c r="K79" i="6"/>
  <c r="K83" i="6"/>
  <c r="K87" i="6"/>
  <c r="K91" i="6"/>
  <c r="K95" i="6"/>
  <c r="K99" i="6"/>
  <c r="K94" i="6"/>
  <c r="K98" i="6"/>
  <c r="K101" i="6"/>
  <c r="K5" i="5"/>
  <c r="K7" i="5"/>
  <c r="K9" i="5"/>
  <c r="K11" i="5"/>
  <c r="K16" i="5"/>
  <c r="K49" i="5"/>
  <c r="K68" i="5"/>
  <c r="K71" i="5"/>
  <c r="K81" i="5"/>
  <c r="K99" i="5"/>
  <c r="K100" i="3"/>
  <c r="K84" i="3"/>
  <c r="K68" i="3"/>
  <c r="K52" i="3"/>
  <c r="K36" i="3"/>
  <c r="K20" i="3"/>
  <c r="H5" i="3"/>
  <c r="C3" i="2" s="1"/>
  <c r="E3" i="2" s="1"/>
  <c r="K8" i="3"/>
  <c r="K101" i="3"/>
  <c r="K97" i="3"/>
  <c r="K93" i="3"/>
  <c r="K89" i="3"/>
  <c r="K85" i="3"/>
  <c r="K81" i="3"/>
  <c r="K77" i="3"/>
  <c r="K73" i="3"/>
  <c r="K69" i="3"/>
  <c r="K65" i="3"/>
  <c r="K61" i="3"/>
  <c r="K57" i="3"/>
  <c r="K53" i="3"/>
  <c r="K49" i="3"/>
  <c r="K45" i="3"/>
  <c r="K41" i="3"/>
  <c r="K37" i="3"/>
  <c r="K33" i="3"/>
  <c r="K29" i="3"/>
  <c r="K25" i="3"/>
  <c r="K21" i="3"/>
  <c r="K17" i="3"/>
  <c r="K13" i="3"/>
  <c r="K9" i="3"/>
  <c r="AV3" i="2" a="1"/>
  <c r="H9" i="2" a="1"/>
  <c r="M3" i="2" a="1"/>
  <c r="T4" i="2" l="1"/>
  <c r="BN3" i="2"/>
  <c r="BO3" i="2" s="1"/>
  <c r="BN4" i="2"/>
  <c r="BO4" i="2" s="1"/>
  <c r="BN5" i="2"/>
  <c r="BO5" i="2" s="1"/>
  <c r="BN6" i="2"/>
  <c r="BO6" i="2" s="1"/>
  <c r="T3" i="2"/>
  <c r="M3" i="2"/>
  <c r="H9" i="2"/>
  <c r="H7" i="2"/>
  <c r="BO52" i="2"/>
  <c r="BO36" i="2"/>
  <c r="BO100" i="2"/>
  <c r="BO74" i="2"/>
  <c r="BO98" i="2"/>
  <c r="BO86" i="2"/>
  <c r="BO48" i="2"/>
  <c r="BO84" i="2"/>
  <c r="BO40" i="2"/>
  <c r="BO24" i="2"/>
  <c r="BO20" i="2"/>
  <c r="BO82" i="2"/>
  <c r="BO70" i="2"/>
  <c r="BO90" i="2"/>
  <c r="BO62" i="2"/>
  <c r="BO32" i="2"/>
  <c r="BO16" i="2"/>
  <c r="BO56" i="2"/>
  <c r="BO92" i="2"/>
  <c r="BO54" i="2"/>
  <c r="BO38" i="2"/>
  <c r="BO80" i="2"/>
  <c r="BO30" i="2"/>
  <c r="BO96" i="2"/>
  <c r="BO28" i="2"/>
  <c r="BO22" i="2"/>
  <c r="BO72" i="2"/>
  <c r="BO44" i="2"/>
  <c r="BO64" i="2"/>
  <c r="BO58" i="2"/>
  <c r="BO18" i="2"/>
  <c r="BO94" i="2"/>
  <c r="BO66" i="2"/>
  <c r="BO42" i="2"/>
  <c r="BO34" i="2"/>
  <c r="F18" i="2" a="1"/>
  <c r="F18" i="2" s="1"/>
  <c r="BO53" i="2"/>
  <c r="BO97" i="2"/>
  <c r="BO19" i="2"/>
  <c r="BO69" i="2"/>
  <c r="BO67" i="2"/>
  <c r="BO35" i="2"/>
  <c r="BO15" i="2"/>
  <c r="BO51" i="2"/>
  <c r="BL51" i="2" a="1"/>
  <c r="BL51" i="2" s="1"/>
  <c r="V35" i="2" a="1"/>
  <c r="V35" i="2" s="1"/>
  <c r="BO83" i="2"/>
  <c r="BO75" i="2"/>
  <c r="M7" i="2" a="1"/>
  <c r="M7" i="2" s="1"/>
  <c r="BO37" i="2"/>
  <c r="BO89" i="2"/>
  <c r="BO60" i="2"/>
  <c r="BO49" i="2"/>
  <c r="BO45" i="2"/>
  <c r="BO43" i="2"/>
  <c r="BO26" i="2"/>
  <c r="BO79" i="2"/>
  <c r="BO68" i="2"/>
  <c r="BO61" i="2"/>
  <c r="BO29" i="2"/>
  <c r="BO23" i="2"/>
  <c r="AX92" i="2" a="1"/>
  <c r="AX92" i="2" s="1"/>
  <c r="AV50" i="2" a="1"/>
  <c r="AV50" i="2" s="1"/>
  <c r="AO51" i="2" a="1"/>
  <c r="AO51" i="2" s="1"/>
  <c r="H59" i="2" a="1"/>
  <c r="H59" i="2" s="1"/>
  <c r="BO99" i="2"/>
  <c r="BO87" i="2"/>
  <c r="BO78" i="2"/>
  <c r="BO50" i="2"/>
  <c r="AC16" i="2" a="1"/>
  <c r="AC16" i="2" s="1"/>
  <c r="V58" i="2" a="1"/>
  <c r="V58" i="2" s="1"/>
  <c r="T24" i="2" a="1"/>
  <c r="T24" i="2" s="1"/>
  <c r="T19" i="2" a="1"/>
  <c r="T19" i="2" s="1"/>
  <c r="BO81" i="2"/>
  <c r="BO73" i="2"/>
  <c r="BO27" i="2"/>
  <c r="AO68" i="2" a="1"/>
  <c r="AO68" i="2" s="1"/>
  <c r="AJ70" i="2" a="1"/>
  <c r="AJ70" i="2" s="1"/>
  <c r="AJ11" i="2" a="1"/>
  <c r="AJ11" i="2" s="1"/>
  <c r="AJ6" i="2" a="1"/>
  <c r="AJ6" i="2" s="1"/>
  <c r="T16" i="2" a="1"/>
  <c r="T16" i="2" s="1"/>
  <c r="O37" i="2" a="1"/>
  <c r="O37" i="2" s="1"/>
  <c r="O15" i="2" a="1"/>
  <c r="O15" i="2" s="1"/>
  <c r="F94" i="2" a="1"/>
  <c r="F94" i="2" s="1"/>
  <c r="F11" i="2" a="1"/>
  <c r="F11" i="2" s="1"/>
  <c r="BO14" i="2"/>
  <c r="AX62" i="2" a="1"/>
  <c r="AX62" i="2" s="1"/>
  <c r="AX84" i="2" a="1"/>
  <c r="AX84" i="2" s="1"/>
  <c r="AV78" i="2" a="1"/>
  <c r="AV78" i="2" s="1"/>
  <c r="AQ10" i="2" a="1"/>
  <c r="AQ10" i="2" s="1"/>
  <c r="AA53" i="2" a="1"/>
  <c r="AA53" i="2" s="1"/>
  <c r="T95" i="2" a="1"/>
  <c r="T95" i="2" s="1"/>
  <c r="V14" i="2" a="1"/>
  <c r="V14" i="2" s="1"/>
  <c r="F74" i="2" a="1"/>
  <c r="F74" i="2" s="1"/>
  <c r="BO76" i="2"/>
  <c r="BO33" i="2"/>
  <c r="BO47" i="2"/>
  <c r="BJ96" i="2" a="1"/>
  <c r="BJ96" i="2" s="1"/>
  <c r="BL92" i="2" a="1"/>
  <c r="BL92" i="2" s="1"/>
  <c r="AX82" i="2" a="1"/>
  <c r="AX82" i="2" s="1"/>
  <c r="AV60" i="2" a="1"/>
  <c r="AV60" i="2" s="1"/>
  <c r="AV76" i="2" a="1"/>
  <c r="AV76" i="2" s="1"/>
  <c r="AV72" i="2" a="1"/>
  <c r="AV72" i="2" s="1"/>
  <c r="AO29" i="2" a="1"/>
  <c r="AO29" i="2" s="1"/>
  <c r="AC72" i="2" a="1"/>
  <c r="AC72" i="2" s="1"/>
  <c r="AC57" i="2" a="1"/>
  <c r="AC57" i="2" s="1"/>
  <c r="AC32" i="2" a="1"/>
  <c r="AC32" i="2" s="1"/>
  <c r="V72" i="2" a="1"/>
  <c r="V72" i="2" s="1"/>
  <c r="T59" i="2" a="1"/>
  <c r="T59" i="2" s="1"/>
  <c r="T54" i="2" a="1"/>
  <c r="T54" i="2" s="1"/>
  <c r="O66" i="2" a="1"/>
  <c r="O66" i="2" s="1"/>
  <c r="H27" i="2" a="1"/>
  <c r="H27" i="2" s="1"/>
  <c r="BO88" i="2"/>
  <c r="BO95" i="2"/>
  <c r="BO85" i="2"/>
  <c r="BO63" i="2"/>
  <c r="BO57" i="2"/>
  <c r="BO55" i="2"/>
  <c r="BO31" i="2"/>
  <c r="BO17" i="2"/>
  <c r="BO11" i="2"/>
  <c r="BJ94" i="2" a="1"/>
  <c r="BJ94" i="2" s="1"/>
  <c r="BJ90" i="2" a="1"/>
  <c r="BJ90" i="2" s="1"/>
  <c r="BJ86" i="2" a="1"/>
  <c r="BJ86" i="2" s="1"/>
  <c r="BL84" i="2" a="1"/>
  <c r="BL84" i="2" s="1"/>
  <c r="BJ79" i="2" a="1"/>
  <c r="BJ79" i="2" s="1"/>
  <c r="BJ74" i="2" a="1"/>
  <c r="BJ74" i="2" s="1"/>
  <c r="BL13" i="2" a="1"/>
  <c r="BL13" i="2" s="1"/>
  <c r="BC5" i="2" a="1"/>
  <c r="BC5" i="2" s="1"/>
  <c r="AX98" i="2" a="1"/>
  <c r="AX98" i="2" s="1"/>
  <c r="AX94" i="2" a="1"/>
  <c r="AX94" i="2" s="1"/>
  <c r="AV86" i="2" a="1"/>
  <c r="AV86" i="2" s="1"/>
  <c r="AX80" i="2" a="1"/>
  <c r="AX80" i="2" s="1"/>
  <c r="AX4" i="2" a="1"/>
  <c r="AX4" i="2" s="1"/>
  <c r="AQ61" i="2" a="1"/>
  <c r="AQ61" i="2" s="1"/>
  <c r="AO49" i="2" a="1"/>
  <c r="AO49" i="2" s="1"/>
  <c r="AQ12" i="2" a="1"/>
  <c r="AQ12" i="2" s="1"/>
  <c r="AJ5" i="2" a="1"/>
  <c r="AJ5" i="2" s="1"/>
  <c r="AH13" i="2" a="1"/>
  <c r="AH13" i="2" s="1"/>
  <c r="T60" i="2" a="1"/>
  <c r="T60" i="2" s="1"/>
  <c r="T45" i="2" a="1"/>
  <c r="T45" i="2" s="1"/>
  <c r="T43" i="2" a="1"/>
  <c r="T43" i="2" s="1"/>
  <c r="V38" i="2" a="1"/>
  <c r="V38" i="2" s="1"/>
  <c r="V56" i="2" a="1"/>
  <c r="V56" i="2" s="1"/>
  <c r="O31" i="2" a="1"/>
  <c r="O31" i="2" s="1"/>
  <c r="M29" i="2" a="1"/>
  <c r="M29" i="2" s="1"/>
  <c r="O69" i="2" a="1"/>
  <c r="O69" i="2" s="1"/>
  <c r="H16" i="2" a="1"/>
  <c r="H16" i="2" s="1"/>
  <c r="H91" i="2" a="1"/>
  <c r="H91" i="2" s="1"/>
  <c r="H66" i="2" a="1"/>
  <c r="H66" i="2" s="1"/>
  <c r="F43" i="2" a="1"/>
  <c r="F43" i="2" s="1"/>
  <c r="F12" i="2" a="1"/>
  <c r="F12" i="2" s="1"/>
  <c r="BO77" i="2"/>
  <c r="BO46" i="2"/>
  <c r="BJ82" i="2" a="1"/>
  <c r="BJ82" i="2" s="1"/>
  <c r="BJ80" i="2" a="1"/>
  <c r="BJ80" i="2" s="1"/>
  <c r="BJ78" i="2" a="1"/>
  <c r="BJ78" i="2" s="1"/>
  <c r="BL76" i="2" a="1"/>
  <c r="BL76" i="2" s="1"/>
  <c r="BL72" i="2" a="1"/>
  <c r="BL72" i="2" s="1"/>
  <c r="BJ70" i="2" a="1"/>
  <c r="BJ70" i="2" s="1"/>
  <c r="BJ10" i="2" a="1"/>
  <c r="BJ10" i="2" s="1"/>
  <c r="BJ91" i="2" a="1"/>
  <c r="BJ91" i="2" s="1"/>
  <c r="BE99" i="2" a="1"/>
  <c r="BE99" i="2" s="1"/>
  <c r="AX100" i="2" a="1"/>
  <c r="AX100" i="2" s="1"/>
  <c r="AX90" i="2" a="1"/>
  <c r="AX90" i="2" s="1"/>
  <c r="AX88" i="2" a="1"/>
  <c r="AX88" i="2" s="1"/>
  <c r="AV66" i="2" a="1"/>
  <c r="AV66" i="2" s="1"/>
  <c r="AX64" i="2" a="1"/>
  <c r="AX64" i="2" s="1"/>
  <c r="AV52" i="2" a="1"/>
  <c r="AV52" i="2" s="1"/>
  <c r="AV96" i="2" a="1"/>
  <c r="AV96" i="2" s="1"/>
  <c r="AQ47" i="2" a="1"/>
  <c r="AQ47" i="2" s="1"/>
  <c r="AQ44" i="2" a="1"/>
  <c r="AQ44" i="2" s="1"/>
  <c r="AQ19" i="2" a="1"/>
  <c r="AQ19" i="2" s="1"/>
  <c r="AO7" i="2" a="1"/>
  <c r="AO7" i="2" s="1"/>
  <c r="AQ6" i="2" a="1"/>
  <c r="AQ6" i="2" s="1"/>
  <c r="AJ34" i="2" a="1"/>
  <c r="AJ34" i="2" s="1"/>
  <c r="AJ8" i="2" a="1"/>
  <c r="AJ8" i="2" s="1"/>
  <c r="AA63" i="2" a="1"/>
  <c r="AA63" i="2" s="1"/>
  <c r="AA24" i="2" a="1"/>
  <c r="AA24" i="2" s="1"/>
  <c r="T27" i="2" a="1"/>
  <c r="T27" i="2" s="1"/>
  <c r="V22" i="2" a="1"/>
  <c r="V22" i="2" s="1"/>
  <c r="T42" i="2" a="1"/>
  <c r="T42" i="2" s="1"/>
  <c r="V20" i="2" a="1"/>
  <c r="V20" i="2" s="1"/>
  <c r="V8" i="2" a="1"/>
  <c r="V8" i="2" s="1"/>
  <c r="O97" i="2" a="1"/>
  <c r="O97" i="2" s="1"/>
  <c r="M62" i="2" a="1"/>
  <c r="M62" i="2" s="1"/>
  <c r="O11" i="2" a="1"/>
  <c r="O11" i="2" s="1"/>
  <c r="H99" i="2" a="1"/>
  <c r="H99" i="2" s="1"/>
  <c r="F83" i="2" a="1"/>
  <c r="F83" i="2" s="1"/>
  <c r="F63" i="2" a="1"/>
  <c r="F63" i="2" s="1"/>
  <c r="F58" i="2" a="1"/>
  <c r="F58" i="2" s="1"/>
  <c r="F51" i="2" a="1"/>
  <c r="F51" i="2" s="1"/>
  <c r="H8" i="2"/>
  <c r="F6" i="2"/>
  <c r="F5" i="2"/>
  <c r="BO39" i="2"/>
  <c r="BJ101" i="2" a="1"/>
  <c r="BJ101" i="2" s="1"/>
  <c r="BJ99" i="2" a="1"/>
  <c r="BJ99" i="2" s="1"/>
  <c r="BL95" i="2" a="1"/>
  <c r="BL95" i="2" s="1"/>
  <c r="BL88" i="2" a="1"/>
  <c r="BL88" i="2" s="1"/>
  <c r="BJ87" i="2" a="1"/>
  <c r="BJ87" i="2" s="1"/>
  <c r="BJ83" i="2" a="1"/>
  <c r="BJ83" i="2" s="1"/>
  <c r="BJ71" i="2" a="1"/>
  <c r="BJ71" i="2" s="1"/>
  <c r="BJ68" i="2" a="1"/>
  <c r="BJ68" i="2" s="1"/>
  <c r="BJ67" i="2" a="1"/>
  <c r="BJ67" i="2" s="1"/>
  <c r="BL66" i="2" a="1"/>
  <c r="BL66" i="2" s="1"/>
  <c r="BL64" i="2" a="1"/>
  <c r="BL64" i="2" s="1"/>
  <c r="BL57" i="2" a="1"/>
  <c r="BL57" i="2" s="1"/>
  <c r="BJ56" i="2" a="1"/>
  <c r="BJ56" i="2" s="1"/>
  <c r="BL50" i="2" a="1"/>
  <c r="BL50" i="2" s="1"/>
  <c r="BJ49" i="2" a="1"/>
  <c r="BJ49" i="2" s="1"/>
  <c r="BJ48" i="2" a="1"/>
  <c r="BJ48" i="2" s="1"/>
  <c r="BJ40" i="2" a="1"/>
  <c r="BJ40" i="2" s="1"/>
  <c r="BJ32" i="2" a="1"/>
  <c r="BJ32" i="2" s="1"/>
  <c r="BJ24" i="2" a="1"/>
  <c r="BJ24" i="2" s="1"/>
  <c r="BL16" i="2" a="1"/>
  <c r="BL16" i="2" s="1"/>
  <c r="BL12" i="2" a="1"/>
  <c r="BL12" i="2" s="1"/>
  <c r="BJ11" i="2" a="1"/>
  <c r="BJ11" i="2" s="1"/>
  <c r="BJ9" i="2" a="1"/>
  <c r="BJ9" i="2" s="1"/>
  <c r="BJ8" i="2" a="1"/>
  <c r="BJ8" i="2" s="1"/>
  <c r="BJ7" i="2" a="1"/>
  <c r="BJ7" i="2" s="1"/>
  <c r="BL6" i="2" a="1"/>
  <c r="BL6" i="2" s="1"/>
  <c r="BL5" i="2" a="1"/>
  <c r="BL5" i="2" s="1"/>
  <c r="BL4" i="2" a="1"/>
  <c r="BL4" i="2" s="1"/>
  <c r="BC97" i="2" a="1"/>
  <c r="BC97" i="2" s="1"/>
  <c r="BC90" i="2" a="1"/>
  <c r="BC90" i="2" s="1"/>
  <c r="BC89" i="2" a="1"/>
  <c r="BC89" i="2" s="1"/>
  <c r="BC86" i="2" a="1"/>
  <c r="BC86" i="2" s="1"/>
  <c r="BE82" i="2" a="1"/>
  <c r="BE82" i="2" s="1"/>
  <c r="BE74" i="2" a="1"/>
  <c r="BE74" i="2" s="1"/>
  <c r="BE72" i="2" a="1"/>
  <c r="BE72" i="2" s="1"/>
  <c r="BC70" i="2" a="1"/>
  <c r="BC70" i="2" s="1"/>
  <c r="BC66" i="2" a="1"/>
  <c r="BC66" i="2" s="1"/>
  <c r="BE65" i="2" a="1"/>
  <c r="BE65" i="2" s="1"/>
  <c r="BC62" i="2" a="1"/>
  <c r="BC62" i="2" s="1"/>
  <c r="BE58" i="2" a="1"/>
  <c r="BE58" i="2" s="1"/>
  <c r="BE56" i="2" a="1"/>
  <c r="BE56" i="2" s="1"/>
  <c r="BE50" i="2" a="1"/>
  <c r="BE50" i="2" s="1"/>
  <c r="BC41" i="2" a="1"/>
  <c r="BC41" i="2" s="1"/>
  <c r="BC40" i="2" a="1"/>
  <c r="BC40" i="2" s="1"/>
  <c r="BC33" i="2" a="1"/>
  <c r="BC33" i="2" s="1"/>
  <c r="BE32" i="2" a="1"/>
  <c r="BE32" i="2" s="1"/>
  <c r="BC30" i="2" a="1"/>
  <c r="BC30" i="2" s="1"/>
  <c r="BE25" i="2" a="1"/>
  <c r="BE25" i="2" s="1"/>
  <c r="BE24" i="2" a="1"/>
  <c r="BE24" i="2" s="1"/>
  <c r="BC22" i="2" a="1"/>
  <c r="BC22" i="2" s="1"/>
  <c r="BE17" i="2" a="1"/>
  <c r="BE17" i="2" s="1"/>
  <c r="BE16" i="2" a="1"/>
  <c r="BE16" i="2" s="1"/>
  <c r="BE14" i="2" a="1"/>
  <c r="BE14" i="2" s="1"/>
  <c r="BC11" i="2" a="1"/>
  <c r="BC11" i="2" s="1"/>
  <c r="BC10" i="2" a="1"/>
  <c r="BC10" i="2" s="1"/>
  <c r="BC9" i="2" a="1"/>
  <c r="BC9" i="2" s="1"/>
  <c r="BE8" i="2" a="1"/>
  <c r="BE8" i="2" s="1"/>
  <c r="BE7" i="2" a="1"/>
  <c r="BE7" i="2" s="1"/>
  <c r="BC6" i="2" a="1"/>
  <c r="BC6" i="2" s="1"/>
  <c r="BE4" i="2" a="1"/>
  <c r="BE4" i="2" s="1"/>
  <c r="BE3" i="2" a="1"/>
  <c r="BE3" i="2" s="1"/>
  <c r="AV70" i="2" a="1"/>
  <c r="AV70" i="2" s="1"/>
  <c r="AV68" i="2" a="1"/>
  <c r="AV68" i="2" s="1"/>
  <c r="AV58" i="2" a="1"/>
  <c r="AV58" i="2" s="1"/>
  <c r="AV56" i="2" a="1"/>
  <c r="AV56" i="2" s="1"/>
  <c r="AX44" i="2" a="1"/>
  <c r="AX44" i="2" s="1"/>
  <c r="AX36" i="2" a="1"/>
  <c r="AX36" i="2" s="1"/>
  <c r="AV12" i="2" a="1"/>
  <c r="AV12" i="2" s="1"/>
  <c r="AX11" i="2" a="1"/>
  <c r="AX11" i="2" s="1"/>
  <c r="AX10" i="2" a="1"/>
  <c r="AX10" i="2" s="1"/>
  <c r="AV9" i="2" a="1"/>
  <c r="AV9" i="2" s="1"/>
  <c r="AV8" i="2" a="1"/>
  <c r="AV8" i="2" s="1"/>
  <c r="AV7" i="2" a="1"/>
  <c r="AV7" i="2" s="1"/>
  <c r="AX5" i="2" a="1"/>
  <c r="AX5" i="2" s="1"/>
  <c r="AO76" i="2" a="1"/>
  <c r="AO76" i="2" s="1"/>
  <c r="AQ75" i="2" a="1"/>
  <c r="AQ75" i="2" s="1"/>
  <c r="AO70" i="2" a="1"/>
  <c r="AO70" i="2" s="1"/>
  <c r="AQ69" i="2" a="1"/>
  <c r="AQ69" i="2" s="1"/>
  <c r="AQ67" i="2" a="1"/>
  <c r="AQ67" i="2" s="1"/>
  <c r="AO63" i="2" a="1"/>
  <c r="AO63" i="2" s="1"/>
  <c r="AQ55" i="2" a="1"/>
  <c r="AQ55" i="2" s="1"/>
  <c r="AO54" i="2" a="1"/>
  <c r="AO54" i="2" s="1"/>
  <c r="AO52" i="2" a="1"/>
  <c r="AO52" i="2" s="1"/>
  <c r="AO48" i="2" a="1"/>
  <c r="AO48" i="2" s="1"/>
  <c r="AQ45" i="2" a="1"/>
  <c r="AQ45" i="2" s="1"/>
  <c r="AO43" i="2" a="1"/>
  <c r="AO43" i="2" s="1"/>
  <c r="AO37" i="2" a="1"/>
  <c r="AO37" i="2" s="1"/>
  <c r="AQ36" i="2" a="1"/>
  <c r="AQ36" i="2" s="1"/>
  <c r="AQ35" i="2" a="1"/>
  <c r="AQ35" i="2" s="1"/>
  <c r="AO28" i="2" a="1"/>
  <c r="AO28" i="2" s="1"/>
  <c r="AQ27" i="2" a="1"/>
  <c r="AQ27" i="2" s="1"/>
  <c r="AO21" i="2" a="1"/>
  <c r="AO21" i="2" s="1"/>
  <c r="AO20" i="2" a="1"/>
  <c r="AO20" i="2" s="1"/>
  <c r="AO13" i="2" a="1"/>
  <c r="AO13" i="2" s="1"/>
  <c r="AO11" i="2" a="1"/>
  <c r="AO11" i="2" s="1"/>
  <c r="AO9" i="2" a="1"/>
  <c r="AO9" i="2" s="1"/>
  <c r="AQ8" i="2" a="1"/>
  <c r="AQ8" i="2" s="1"/>
  <c r="AO5" i="2" a="1"/>
  <c r="AO5" i="2" s="1"/>
  <c r="AQ4" i="2" a="1"/>
  <c r="AQ4" i="2" s="1"/>
  <c r="AJ99" i="2" a="1"/>
  <c r="AJ99" i="2" s="1"/>
  <c r="AH97" i="2" a="1"/>
  <c r="AH97" i="2" s="1"/>
  <c r="AJ91" i="2" a="1"/>
  <c r="AJ91" i="2" s="1"/>
  <c r="AJ89" i="2" a="1"/>
  <c r="AJ89" i="2" s="1"/>
  <c r="AH85" i="2" a="1"/>
  <c r="AH85" i="2" s="1"/>
  <c r="AJ82" i="2" a="1"/>
  <c r="AJ82" i="2" s="1"/>
  <c r="AJ81" i="2" a="1"/>
  <c r="AJ81" i="2" s="1"/>
  <c r="AH77" i="2" a="1"/>
  <c r="AH77" i="2" s="1"/>
  <c r="AJ68" i="2" a="1"/>
  <c r="AJ68" i="2" s="1"/>
  <c r="AJ64" i="2" a="1"/>
  <c r="AJ64" i="2" s="1"/>
  <c r="AJ62" i="2" a="1"/>
  <c r="AJ62" i="2" s="1"/>
  <c r="AJ61" i="2" a="1"/>
  <c r="AJ61" i="2" s="1"/>
  <c r="AH58" i="2" a="1"/>
  <c r="AH58" i="2" s="1"/>
  <c r="AH57" i="2" a="1"/>
  <c r="AH57" i="2" s="1"/>
  <c r="AH53" i="2" a="1"/>
  <c r="AH53" i="2" s="1"/>
  <c r="AH52" i="2" a="1"/>
  <c r="AH52" i="2" s="1"/>
  <c r="AJ49" i="2" a="1"/>
  <c r="AJ49" i="2" s="1"/>
  <c r="AJ48" i="2" a="1"/>
  <c r="AJ48" i="2" s="1"/>
  <c r="AH44" i="2" a="1"/>
  <c r="AH44" i="2" s="1"/>
  <c r="AH42" i="2" a="1"/>
  <c r="AH42" i="2" s="1"/>
  <c r="AH36" i="2" a="1"/>
  <c r="AH36" i="2" s="1"/>
  <c r="AH26" i="2" a="1"/>
  <c r="AH26" i="2" s="1"/>
  <c r="AH20" i="2" a="1"/>
  <c r="AH20" i="2" s="1"/>
  <c r="AH18" i="2" a="1"/>
  <c r="AH18" i="2" s="1"/>
  <c r="AJ14" i="2" a="1"/>
  <c r="AJ14" i="2" s="1"/>
  <c r="AH12" i="2" a="1"/>
  <c r="AH12" i="2" s="1"/>
  <c r="AJ10" i="2" a="1"/>
  <c r="AJ10" i="2" s="1"/>
  <c r="AH9" i="2" a="1"/>
  <c r="AH9" i="2" s="1"/>
  <c r="AJ7" i="2" a="1"/>
  <c r="AJ7" i="2" s="1"/>
  <c r="AH4" i="2" a="1"/>
  <c r="AH4" i="2" s="1"/>
  <c r="AC71" i="2" a="1"/>
  <c r="AC71" i="2" s="1"/>
  <c r="AA70" i="2" a="1"/>
  <c r="AA70" i="2" s="1"/>
  <c r="AC69" i="2" a="1"/>
  <c r="AC69" i="2" s="1"/>
  <c r="AC62" i="2" a="1"/>
  <c r="AC62" i="2" s="1"/>
  <c r="AC61" i="2" a="1"/>
  <c r="AC61" i="2" s="1"/>
  <c r="AC55" i="2" a="1"/>
  <c r="AC55" i="2" s="1"/>
  <c r="AA54" i="2" a="1"/>
  <c r="AA54" i="2" s="1"/>
  <c r="AC49" i="2" a="1"/>
  <c r="AC49" i="2" s="1"/>
  <c r="AA47" i="2" a="1"/>
  <c r="AA47" i="2" s="1"/>
  <c r="AA46" i="2" a="1"/>
  <c r="AA46" i="2" s="1"/>
  <c r="AA44" i="2" a="1"/>
  <c r="AA44" i="2" s="1"/>
  <c r="AA42" i="2" a="1"/>
  <c r="AA42" i="2" s="1"/>
  <c r="AA40" i="2" a="1"/>
  <c r="AA40" i="2" s="1"/>
  <c r="AA38" i="2" a="1"/>
  <c r="AA38" i="2" s="1"/>
  <c r="AA36" i="2" a="1"/>
  <c r="AA36" i="2" s="1"/>
  <c r="AC34" i="2" a="1"/>
  <c r="AC34" i="2" s="1"/>
  <c r="AA30" i="2" a="1"/>
  <c r="AA30" i="2" s="1"/>
  <c r="AC28" i="2" a="1"/>
  <c r="AC28" i="2" s="1"/>
  <c r="AA26" i="2" a="1"/>
  <c r="AA26" i="2" s="1"/>
  <c r="AC22" i="2" a="1"/>
  <c r="AC22" i="2" s="1"/>
  <c r="AC20" i="2" a="1"/>
  <c r="AC20" i="2" s="1"/>
  <c r="AA18" i="2" a="1"/>
  <c r="AA18" i="2" s="1"/>
  <c r="AA14" i="2" a="1"/>
  <c r="AA14" i="2" s="1"/>
  <c r="AA11" i="2" a="1"/>
  <c r="AA11" i="2" s="1"/>
  <c r="AA10" i="2" a="1"/>
  <c r="AA10" i="2" s="1"/>
  <c r="AC9" i="2" a="1"/>
  <c r="AC9" i="2" s="1"/>
  <c r="AC8" i="2" a="1"/>
  <c r="AC8" i="2" s="1"/>
  <c r="AC7" i="2" a="1"/>
  <c r="AC7" i="2" s="1"/>
  <c r="AA6" i="2" a="1"/>
  <c r="AA6" i="2" s="1"/>
  <c r="AA5" i="2" a="1"/>
  <c r="AA5" i="2" s="1"/>
  <c r="T99" i="2" a="1"/>
  <c r="T99" i="2" s="1"/>
  <c r="T98" i="2" a="1"/>
  <c r="T98" i="2" s="1"/>
  <c r="V97" i="2" a="1"/>
  <c r="V97" i="2" s="1"/>
  <c r="T96" i="2" a="1"/>
  <c r="T96" i="2" s="1"/>
  <c r="T94" i="2" a="1"/>
  <c r="T94" i="2" s="1"/>
  <c r="V93" i="2" a="1"/>
  <c r="V93" i="2" s="1"/>
  <c r="T92" i="2" a="1"/>
  <c r="T92" i="2" s="1"/>
  <c r="V91" i="2" a="1"/>
  <c r="V91" i="2" s="1"/>
  <c r="V90" i="2" a="1"/>
  <c r="V90" i="2" s="1"/>
  <c r="V89" i="2" a="1"/>
  <c r="V89" i="2" s="1"/>
  <c r="V88" i="2" a="1"/>
  <c r="V88" i="2" s="1"/>
  <c r="T87" i="2" a="1"/>
  <c r="T87" i="2" s="1"/>
  <c r="T86" i="2" a="1"/>
  <c r="T86" i="2" s="1"/>
  <c r="V84" i="2" a="1"/>
  <c r="V84" i="2" s="1"/>
  <c r="T83" i="2" a="1"/>
  <c r="T83" i="2" s="1"/>
  <c r="V82" i="2" a="1"/>
  <c r="V82" i="2" s="1"/>
  <c r="T81" i="2" a="1"/>
  <c r="T81" i="2" s="1"/>
  <c r="T80" i="2" a="1"/>
  <c r="T80" i="2" s="1"/>
  <c r="V79" i="2" a="1"/>
  <c r="V79" i="2" s="1"/>
  <c r="V78" i="2" a="1"/>
  <c r="V78" i="2" s="1"/>
  <c r="T77" i="2" a="1"/>
  <c r="T77" i="2" s="1"/>
  <c r="T76" i="2" a="1"/>
  <c r="T76" i="2" s="1"/>
  <c r="T73" i="2" a="1"/>
  <c r="T73" i="2" s="1"/>
  <c r="V71" i="2" a="1"/>
  <c r="V71" i="2" s="1"/>
  <c r="V70" i="2" a="1"/>
  <c r="V70" i="2" s="1"/>
  <c r="T69" i="2" a="1"/>
  <c r="T69" i="2" s="1"/>
  <c r="T68" i="2" a="1"/>
  <c r="T68" i="2" s="1"/>
  <c r="T67" i="2" a="1"/>
  <c r="T67" i="2" s="1"/>
  <c r="T66" i="2" a="1"/>
  <c r="T66" i="2" s="1"/>
  <c r="V65" i="2" a="1"/>
  <c r="V65" i="2" s="1"/>
  <c r="T62" i="2" a="1"/>
  <c r="T62" i="2" s="1"/>
  <c r="V61" i="2" a="1"/>
  <c r="V61" i="2" s="1"/>
  <c r="T55" i="2" a="1"/>
  <c r="T55" i="2" s="1"/>
  <c r="T53" i="2" a="1"/>
  <c r="T53" i="2" s="1"/>
  <c r="V52" i="2" a="1"/>
  <c r="V52" i="2" s="1"/>
  <c r="V51" i="2" a="1"/>
  <c r="V51" i="2" s="1"/>
  <c r="T50" i="2" a="1"/>
  <c r="T50" i="2" s="1"/>
  <c r="V47" i="2" a="1"/>
  <c r="V47" i="2" s="1"/>
  <c r="T46" i="2" a="1"/>
  <c r="T46" i="2" s="1"/>
  <c r="V39" i="2" a="1"/>
  <c r="V39" i="2" s="1"/>
  <c r="V37" i="2" a="1"/>
  <c r="V37" i="2" s="1"/>
  <c r="V33" i="2" a="1"/>
  <c r="V33" i="2" s="1"/>
  <c r="T31" i="2" a="1"/>
  <c r="T31" i="2" s="1"/>
  <c r="V30" i="2" a="1"/>
  <c r="V30" i="2" s="1"/>
  <c r="V29" i="2" a="1"/>
  <c r="V29" i="2" s="1"/>
  <c r="T26" i="2" a="1"/>
  <c r="T26" i="2" s="1"/>
  <c r="T23" i="2" a="1"/>
  <c r="T23" i="2" s="1"/>
  <c r="V21" i="2" a="1"/>
  <c r="V21" i="2" s="1"/>
  <c r="T18" i="2" a="1"/>
  <c r="T18" i="2" s="1"/>
  <c r="T17" i="2" a="1"/>
  <c r="T17" i="2" s="1"/>
  <c r="T15" i="2" a="1"/>
  <c r="T15" i="2" s="1"/>
  <c r="V13" i="2" a="1"/>
  <c r="V13" i="2" s="1"/>
  <c r="V12" i="2" a="1"/>
  <c r="V12" i="2" s="1"/>
  <c r="T11" i="2" a="1"/>
  <c r="T11" i="2" s="1"/>
  <c r="T10" i="2" a="1"/>
  <c r="T10" i="2" s="1"/>
  <c r="T9" i="2" a="1"/>
  <c r="T9" i="2" s="1"/>
  <c r="V7" i="2" a="1"/>
  <c r="V7" i="2" s="1"/>
  <c r="T6" i="2" a="1"/>
  <c r="T6" i="2" s="1"/>
  <c r="T5" i="2" a="1"/>
  <c r="T5" i="2" s="1"/>
  <c r="M96" i="2" a="1"/>
  <c r="M96" i="2" s="1"/>
  <c r="O86" i="2" a="1"/>
  <c r="O86" i="2" s="1"/>
  <c r="M80" i="2" a="1"/>
  <c r="M80" i="2" s="1"/>
  <c r="O79" i="2" a="1"/>
  <c r="O79" i="2" s="1"/>
  <c r="M76" i="2" a="1"/>
  <c r="M76" i="2" s="1"/>
  <c r="M72" i="2" a="1"/>
  <c r="M72" i="2" s="1"/>
  <c r="M70" i="2" a="1"/>
  <c r="M70" i="2" s="1"/>
  <c r="M68" i="2" a="1"/>
  <c r="M68" i="2" s="1"/>
  <c r="O39" i="2" a="1"/>
  <c r="O39" i="2" s="1"/>
  <c r="O21" i="2" a="1"/>
  <c r="O21" i="2" s="1"/>
  <c r="M19" i="2" a="1"/>
  <c r="M19" i="2" s="1"/>
  <c r="M17" i="2" a="1"/>
  <c r="M17" i="2" s="1"/>
  <c r="O13" i="2" a="1"/>
  <c r="O13" i="2" s="1"/>
  <c r="O12" i="2" a="1"/>
  <c r="O12" i="2" s="1"/>
  <c r="O9" i="2" a="1"/>
  <c r="O9" i="2" s="1"/>
  <c r="O8" i="2" a="1"/>
  <c r="O8" i="2" s="1"/>
  <c r="O5" i="2" a="1"/>
  <c r="O5" i="2" s="1"/>
  <c r="F98" i="2" a="1"/>
  <c r="F98" i="2" s="1"/>
  <c r="H95" i="2" a="1"/>
  <c r="H95" i="2" s="1"/>
  <c r="H87" i="2" a="1"/>
  <c r="H87" i="2" s="1"/>
  <c r="H86" i="2" a="1"/>
  <c r="H86" i="2" s="1"/>
  <c r="F82" i="2" a="1"/>
  <c r="F82" i="2" s="1"/>
  <c r="F78" i="2" a="1"/>
  <c r="F78" i="2" s="1"/>
  <c r="F75" i="2" a="1"/>
  <c r="F75" i="2" s="1"/>
  <c r="H71" i="2" a="1"/>
  <c r="H71" i="2" s="1"/>
  <c r="H70" i="2" a="1"/>
  <c r="H70" i="2" s="1"/>
  <c r="H67" i="2" a="1"/>
  <c r="H67" i="2" s="1"/>
  <c r="F62" i="2" a="1"/>
  <c r="F62" i="2" s="1"/>
  <c r="F54" i="2" a="1"/>
  <c r="F54" i="2" s="1"/>
  <c r="F50" i="2" a="1"/>
  <c r="F50" i="2" s="1"/>
  <c r="F47" i="2" a="1"/>
  <c r="F47" i="2" s="1"/>
  <c r="H46" i="2" a="1"/>
  <c r="H46" i="2" s="1"/>
  <c r="F42" i="2" a="1"/>
  <c r="F42" i="2" s="1"/>
  <c r="F39" i="2" a="1"/>
  <c r="F39" i="2" s="1"/>
  <c r="H38" i="2" a="1"/>
  <c r="H38" i="2" s="1"/>
  <c r="F34" i="2" a="1"/>
  <c r="F34" i="2" s="1"/>
  <c r="H31" i="2" a="1"/>
  <c r="H31" i="2" s="1"/>
  <c r="H30" i="2" a="1"/>
  <c r="H30" i="2" s="1"/>
  <c r="H26" i="2" a="1"/>
  <c r="H26" i="2" s="1"/>
  <c r="H23" i="2" a="1"/>
  <c r="H23" i="2" s="1"/>
  <c r="H22" i="2" a="1"/>
  <c r="H22" i="2" s="1"/>
  <c r="H21" i="2" a="1"/>
  <c r="H21" i="2" s="1"/>
  <c r="F20" i="2" a="1"/>
  <c r="F20" i="2" s="1"/>
  <c r="H19" i="2" a="1"/>
  <c r="H19" i="2" s="1"/>
  <c r="F17" i="2" a="1"/>
  <c r="F17" i="2" s="1"/>
  <c r="H14" i="2" a="1"/>
  <c r="H14" i="2" s="1"/>
  <c r="F13" i="2" a="1"/>
  <c r="F13" i="2" s="1"/>
  <c r="F10" i="2" a="1"/>
  <c r="F10" i="2" s="1"/>
  <c r="H4" i="2"/>
  <c r="BO13" i="2"/>
  <c r="BO10" i="2"/>
  <c r="BO9" i="2"/>
  <c r="BO8" i="2"/>
  <c r="BO7" i="2"/>
  <c r="BJ100" i="2" a="1"/>
  <c r="BJ100" i="2" s="1"/>
  <c r="BL100" i="2" a="1"/>
  <c r="BL100" i="2" s="1"/>
  <c r="BJ98" i="2" a="1"/>
  <c r="BJ98" i="2" s="1"/>
  <c r="BL98" i="2" a="1"/>
  <c r="BL98" i="2" s="1"/>
  <c r="BJ97" i="2" a="1"/>
  <c r="BJ97" i="2" s="1"/>
  <c r="BL97" i="2" a="1"/>
  <c r="BL97" i="2" s="1"/>
  <c r="BL93" i="2" a="1"/>
  <c r="BL93" i="2" s="1"/>
  <c r="BJ93" i="2" a="1"/>
  <c r="BJ93" i="2" s="1"/>
  <c r="BJ89" i="2" a="1"/>
  <c r="BJ89" i="2" s="1"/>
  <c r="BL89" i="2" a="1"/>
  <c r="BL89" i="2" s="1"/>
  <c r="BL85" i="2" a="1"/>
  <c r="BL85" i="2" s="1"/>
  <c r="BJ85" i="2" a="1"/>
  <c r="BJ85" i="2" s="1"/>
  <c r="BJ81" i="2" a="1"/>
  <c r="BJ81" i="2" s="1"/>
  <c r="BL81" i="2" a="1"/>
  <c r="BL81" i="2" s="1"/>
  <c r="BL77" i="2" a="1"/>
  <c r="BL77" i="2" s="1"/>
  <c r="BJ77" i="2" a="1"/>
  <c r="BJ77" i="2" s="1"/>
  <c r="BJ75" i="2" a="1"/>
  <c r="BJ75" i="2" s="1"/>
  <c r="BL73" i="2" a="1"/>
  <c r="BL73" i="2" s="1"/>
  <c r="BJ73" i="2" a="1"/>
  <c r="BJ73" i="2" s="1"/>
  <c r="BJ69" i="2" a="1"/>
  <c r="BJ69" i="2" s="1"/>
  <c r="BL69" i="2" a="1"/>
  <c r="BL69" i="2" s="1"/>
  <c r="BJ65" i="2" a="1"/>
  <c r="BJ65" i="2" s="1"/>
  <c r="BL65" i="2" a="1"/>
  <c r="BL65" i="2" s="1"/>
  <c r="BL63" i="2" a="1"/>
  <c r="BL63" i="2" s="1"/>
  <c r="BJ63" i="2" a="1"/>
  <c r="BJ63" i="2" s="1"/>
  <c r="BL62" i="2" a="1"/>
  <c r="BL62" i="2" s="1"/>
  <c r="BJ62" i="2" a="1"/>
  <c r="BJ62" i="2" s="1"/>
  <c r="BJ61" i="2" a="1"/>
  <c r="BJ61" i="2" s="1"/>
  <c r="BL61" i="2" a="1"/>
  <c r="BL61" i="2" s="1"/>
  <c r="BL60" i="2" a="1"/>
  <c r="BL60" i="2" s="1"/>
  <c r="BJ60" i="2" a="1"/>
  <c r="BJ60" i="2" s="1"/>
  <c r="BJ59" i="2" a="1"/>
  <c r="BJ59" i="2" s="1"/>
  <c r="BL58" i="2" a="1"/>
  <c r="BL58" i="2" s="1"/>
  <c r="BL55" i="2" a="1"/>
  <c r="BL55" i="2" s="1"/>
  <c r="BJ55" i="2" a="1"/>
  <c r="BJ55" i="2" s="1"/>
  <c r="BJ54" i="2" a="1"/>
  <c r="BJ54" i="2" s="1"/>
  <c r="BL54" i="2" a="1"/>
  <c r="BL54" i="2" s="1"/>
  <c r="BL53" i="2" a="1"/>
  <c r="BL53" i="2" s="1"/>
  <c r="BJ53" i="2" a="1"/>
  <c r="BJ53" i="2" s="1"/>
  <c r="BJ52" i="2" a="1"/>
  <c r="BJ52" i="2" s="1"/>
  <c r="BL52" i="2" a="1"/>
  <c r="BL52" i="2" s="1"/>
  <c r="BJ47" i="2" a="1"/>
  <c r="BJ47" i="2" s="1"/>
  <c r="BL47" i="2" a="1"/>
  <c r="BL47" i="2" s="1"/>
  <c r="BL46" i="2" a="1"/>
  <c r="BL46" i="2" s="1"/>
  <c r="BJ46" i="2" a="1"/>
  <c r="BJ46" i="2" s="1"/>
  <c r="BL45" i="2" a="1"/>
  <c r="BL45" i="2" s="1"/>
  <c r="BJ45" i="2" a="1"/>
  <c r="BJ45" i="2" s="1"/>
  <c r="BJ44" i="2" a="1"/>
  <c r="BJ44" i="2" s="1"/>
  <c r="BL44" i="2" a="1"/>
  <c r="BL44" i="2" s="1"/>
  <c r="BL43" i="2" a="1"/>
  <c r="BL43" i="2" s="1"/>
  <c r="BJ43" i="2" a="1"/>
  <c r="BJ43" i="2" s="1"/>
  <c r="BL42" i="2" a="1"/>
  <c r="BL42" i="2" s="1"/>
  <c r="BJ42" i="2" a="1"/>
  <c r="BJ42" i="2" s="1"/>
  <c r="BJ41" i="2" a="1"/>
  <c r="BJ41" i="2" s="1"/>
  <c r="BL41" i="2" a="1"/>
  <c r="BL41" i="2" s="1"/>
  <c r="BL39" i="2" a="1"/>
  <c r="BL39" i="2" s="1"/>
  <c r="BJ39" i="2" a="1"/>
  <c r="BJ39" i="2" s="1"/>
  <c r="BJ38" i="2" a="1"/>
  <c r="BJ38" i="2" s="1"/>
  <c r="BL38" i="2" a="1"/>
  <c r="BL38" i="2" s="1"/>
  <c r="BL37" i="2" a="1"/>
  <c r="BL37" i="2" s="1"/>
  <c r="BJ37" i="2" a="1"/>
  <c r="BJ37" i="2" s="1"/>
  <c r="BJ36" i="2" a="1"/>
  <c r="BJ36" i="2" s="1"/>
  <c r="BL36" i="2" a="1"/>
  <c r="BL36" i="2" s="1"/>
  <c r="BL35" i="2" a="1"/>
  <c r="BL35" i="2" s="1"/>
  <c r="BJ35" i="2" a="1"/>
  <c r="BJ35" i="2" s="1"/>
  <c r="BL34" i="2" a="1"/>
  <c r="BL34" i="2" s="1"/>
  <c r="BJ34" i="2" a="1"/>
  <c r="BJ34" i="2" s="1"/>
  <c r="BJ33" i="2" a="1"/>
  <c r="BJ33" i="2" s="1"/>
  <c r="BL33" i="2" a="1"/>
  <c r="BL33" i="2" s="1"/>
  <c r="BL31" i="2" a="1"/>
  <c r="BL31" i="2" s="1"/>
  <c r="BJ31" i="2" a="1"/>
  <c r="BJ31" i="2" s="1"/>
  <c r="BL30" i="2" a="1"/>
  <c r="BL30" i="2" s="1"/>
  <c r="BJ30" i="2" a="1"/>
  <c r="BJ30" i="2" s="1"/>
  <c r="BJ29" i="2" a="1"/>
  <c r="BJ29" i="2" s="1"/>
  <c r="BL29" i="2" a="1"/>
  <c r="BL29" i="2" s="1"/>
  <c r="BJ28" i="2" a="1"/>
  <c r="BJ28" i="2" s="1"/>
  <c r="BL28" i="2" a="1"/>
  <c r="BL28" i="2" s="1"/>
  <c r="BL27" i="2" a="1"/>
  <c r="BL27" i="2" s="1"/>
  <c r="BJ27" i="2" a="1"/>
  <c r="BJ27" i="2" s="1"/>
  <c r="BJ26" i="2" a="1"/>
  <c r="BJ26" i="2" s="1"/>
  <c r="BL26" i="2" a="1"/>
  <c r="BL26" i="2" s="1"/>
  <c r="BJ25" i="2" a="1"/>
  <c r="BJ25" i="2" s="1"/>
  <c r="BL25" i="2" a="1"/>
  <c r="BL25" i="2" s="1"/>
  <c r="BL23" i="2" a="1"/>
  <c r="BL23" i="2" s="1"/>
  <c r="BJ23" i="2" a="1"/>
  <c r="BJ23" i="2" s="1"/>
  <c r="BL22" i="2" a="1"/>
  <c r="BL22" i="2" s="1"/>
  <c r="BJ22" i="2" a="1"/>
  <c r="BJ22" i="2" s="1"/>
  <c r="BJ21" i="2" a="1"/>
  <c r="BJ21" i="2" s="1"/>
  <c r="BL21" i="2" a="1"/>
  <c r="BL21" i="2" s="1"/>
  <c r="BL20" i="2" a="1"/>
  <c r="BL20" i="2" s="1"/>
  <c r="BJ20" i="2" a="1"/>
  <c r="BJ20" i="2" s="1"/>
  <c r="BJ19" i="2" a="1"/>
  <c r="BJ19" i="2" s="1"/>
  <c r="BL19" i="2" a="1"/>
  <c r="BL19" i="2" s="1"/>
  <c r="BL18" i="2" a="1"/>
  <c r="BL18" i="2" s="1"/>
  <c r="BJ18" i="2" a="1"/>
  <c r="BJ18" i="2" s="1"/>
  <c r="BJ17" i="2" a="1"/>
  <c r="BJ17" i="2" s="1"/>
  <c r="BL17" i="2" a="1"/>
  <c r="BL17" i="2" s="1"/>
  <c r="BJ15" i="2" a="1"/>
  <c r="BJ15" i="2" s="1"/>
  <c r="BL15" i="2" a="1"/>
  <c r="BL15" i="2" s="1"/>
  <c r="BJ14" i="2" a="1"/>
  <c r="BJ14" i="2" s="1"/>
  <c r="BL14" i="2" a="1"/>
  <c r="BL14" i="2" s="1"/>
  <c r="BE101" i="2" a="1"/>
  <c r="BE101" i="2" s="1"/>
  <c r="BC101" i="2" a="1"/>
  <c r="BC101" i="2" s="1"/>
  <c r="BC100" i="2" a="1"/>
  <c r="BC100" i="2" s="1"/>
  <c r="BE100" i="2" a="1"/>
  <c r="BE100" i="2" s="1"/>
  <c r="BE98" i="2" a="1"/>
  <c r="BE98" i="2" s="1"/>
  <c r="BC98" i="2" a="1"/>
  <c r="BC98" i="2" s="1"/>
  <c r="BC96" i="2" a="1"/>
  <c r="BC96" i="2" s="1"/>
  <c r="BE96" i="2" a="1"/>
  <c r="BE96" i="2" s="1"/>
  <c r="BC95" i="2" a="1"/>
  <c r="BC95" i="2" s="1"/>
  <c r="BE95" i="2" a="1"/>
  <c r="BE95" i="2" s="1"/>
  <c r="BC94" i="2" a="1"/>
  <c r="BC94" i="2" s="1"/>
  <c r="BE94" i="2" a="1"/>
  <c r="BE94" i="2" s="1"/>
  <c r="BC93" i="2" a="1"/>
  <c r="BC93" i="2" s="1"/>
  <c r="BC92" i="2" a="1"/>
  <c r="BC92" i="2" s="1"/>
  <c r="BE92" i="2" a="1"/>
  <c r="BE92" i="2" s="1"/>
  <c r="BC91" i="2" a="1"/>
  <c r="BC91" i="2" s="1"/>
  <c r="BE91" i="2" a="1"/>
  <c r="BE91" i="2" s="1"/>
  <c r="BC88" i="2" a="1"/>
  <c r="BC88" i="2" s="1"/>
  <c r="BE88" i="2" a="1"/>
  <c r="BE88" i="2" s="1"/>
  <c r="BE87" i="2" a="1"/>
  <c r="BE87" i="2" s="1"/>
  <c r="BC87" i="2" a="1"/>
  <c r="BC87" i="2" s="1"/>
  <c r="BE85" i="2" a="1"/>
  <c r="BE85" i="2" s="1"/>
  <c r="BC85" i="2" a="1"/>
  <c r="BC85" i="2" s="1"/>
  <c r="BC84" i="2" a="1"/>
  <c r="BC84" i="2" s="1"/>
  <c r="BE84" i="2" a="1"/>
  <c r="BE84" i="2" s="1"/>
  <c r="BC83" i="2" a="1"/>
  <c r="BC83" i="2" s="1"/>
  <c r="BE83" i="2" a="1"/>
  <c r="BE83" i="2" s="1"/>
  <c r="BE81" i="2" a="1"/>
  <c r="BE81" i="2" s="1"/>
  <c r="BC81" i="2" a="1"/>
  <c r="BC81" i="2" s="1"/>
  <c r="BE80" i="2" a="1"/>
  <c r="BE80" i="2" s="1"/>
  <c r="BC80" i="2" a="1"/>
  <c r="BC80" i="2" s="1"/>
  <c r="BE79" i="2" a="1"/>
  <c r="BE79" i="2" s="1"/>
  <c r="BC79" i="2" a="1"/>
  <c r="BC79" i="2" s="1"/>
  <c r="BC78" i="2" a="1"/>
  <c r="BC78" i="2" s="1"/>
  <c r="BE77" i="2" a="1"/>
  <c r="BE77" i="2" s="1"/>
  <c r="BC77" i="2" a="1"/>
  <c r="BC77" i="2" s="1"/>
  <c r="BC76" i="2" a="1"/>
  <c r="BC76" i="2" s="1"/>
  <c r="BE76" i="2" a="1"/>
  <c r="BE76" i="2" s="1"/>
  <c r="BE75" i="2" a="1"/>
  <c r="BE75" i="2" s="1"/>
  <c r="BC75" i="2" a="1"/>
  <c r="BC75" i="2" s="1"/>
  <c r="BE73" i="2" a="1"/>
  <c r="BE73" i="2" s="1"/>
  <c r="BC73" i="2" a="1"/>
  <c r="BC73" i="2" s="1"/>
  <c r="BE71" i="2" a="1"/>
  <c r="BE71" i="2" s="1"/>
  <c r="BC71" i="2" a="1"/>
  <c r="BC71" i="2" s="1"/>
  <c r="BE69" i="2" a="1"/>
  <c r="BE69" i="2" s="1"/>
  <c r="BC69" i="2" a="1"/>
  <c r="BC69" i="2" s="1"/>
  <c r="BE68" i="2" a="1"/>
  <c r="BE68" i="2" s="1"/>
  <c r="BC68" i="2" a="1"/>
  <c r="BC68" i="2" s="1"/>
  <c r="BE67" i="2" a="1"/>
  <c r="BE67" i="2" s="1"/>
  <c r="BC67" i="2" a="1"/>
  <c r="BC67" i="2" s="1"/>
  <c r="BC64" i="2" a="1"/>
  <c r="BC64" i="2" s="1"/>
  <c r="BE64" i="2" a="1"/>
  <c r="BE64" i="2" s="1"/>
  <c r="BE63" i="2" a="1"/>
  <c r="BE63" i="2" s="1"/>
  <c r="BC63" i="2" a="1"/>
  <c r="BC63" i="2" s="1"/>
  <c r="BC61" i="2" a="1"/>
  <c r="BC61" i="2" s="1"/>
  <c r="BE61" i="2" a="1"/>
  <c r="BE61" i="2" s="1"/>
  <c r="BC60" i="2" a="1"/>
  <c r="BC60" i="2" s="1"/>
  <c r="BE60" i="2" a="1"/>
  <c r="BE60" i="2" s="1"/>
  <c r="BE59" i="2" a="1"/>
  <c r="BE59" i="2" s="1"/>
  <c r="BC59" i="2" a="1"/>
  <c r="BC59" i="2" s="1"/>
  <c r="BC57" i="2" a="1"/>
  <c r="BC57" i="2" s="1"/>
  <c r="BE57" i="2" a="1"/>
  <c r="BE57" i="2" s="1"/>
  <c r="BE55" i="2" a="1"/>
  <c r="BE55" i="2" s="1"/>
  <c r="BC55" i="2" a="1"/>
  <c r="BC55" i="2" s="1"/>
  <c r="BE54" i="2" a="1"/>
  <c r="BE54" i="2" s="1"/>
  <c r="BC54" i="2" a="1"/>
  <c r="BC54" i="2" s="1"/>
  <c r="BE53" i="2" a="1"/>
  <c r="BE53" i="2" s="1"/>
  <c r="BC53" i="2" a="1"/>
  <c r="BC53" i="2" s="1"/>
  <c r="BE52" i="2" a="1"/>
  <c r="BE52" i="2" s="1"/>
  <c r="BC52" i="2" a="1"/>
  <c r="BC52" i="2" s="1"/>
  <c r="BE51" i="2" a="1"/>
  <c r="BE51" i="2" s="1"/>
  <c r="BC51" i="2" a="1"/>
  <c r="BC51" i="2" s="1"/>
  <c r="BC49" i="2" a="1"/>
  <c r="BC49" i="2" s="1"/>
  <c r="BE49" i="2" a="1"/>
  <c r="BE49" i="2" s="1"/>
  <c r="BC48" i="2" a="1"/>
  <c r="BC48" i="2" s="1"/>
  <c r="BE48" i="2" a="1"/>
  <c r="BE48" i="2" s="1"/>
  <c r="BE47" i="2" a="1"/>
  <c r="BE47" i="2" s="1"/>
  <c r="BC47" i="2" a="1"/>
  <c r="BC47" i="2" s="1"/>
  <c r="BE46" i="2" a="1"/>
  <c r="BE46" i="2" s="1"/>
  <c r="BC46" i="2" a="1"/>
  <c r="BC46" i="2" s="1"/>
  <c r="BC45" i="2" a="1"/>
  <c r="BC45" i="2" s="1"/>
  <c r="BE45" i="2" a="1"/>
  <c r="BE45" i="2" s="1"/>
  <c r="BC44" i="2" a="1"/>
  <c r="BC44" i="2" s="1"/>
  <c r="BE44" i="2" a="1"/>
  <c r="BE44" i="2" s="1"/>
  <c r="BE43" i="2" a="1"/>
  <c r="BE43" i="2" s="1"/>
  <c r="BC43" i="2" a="1"/>
  <c r="BC43" i="2" s="1"/>
  <c r="BE42" i="2" a="1"/>
  <c r="BE42" i="2" s="1"/>
  <c r="BC42" i="2" a="1"/>
  <c r="BC42" i="2" s="1"/>
  <c r="BE39" i="2" a="1"/>
  <c r="BE39" i="2" s="1"/>
  <c r="BC39" i="2" a="1"/>
  <c r="BC39" i="2" s="1"/>
  <c r="BC38" i="2" a="1"/>
  <c r="BC38" i="2" s="1"/>
  <c r="BC37" i="2" a="1"/>
  <c r="BC37" i="2" s="1"/>
  <c r="BE37" i="2" a="1"/>
  <c r="BE37" i="2" s="1"/>
  <c r="BC36" i="2" a="1"/>
  <c r="BC36" i="2" s="1"/>
  <c r="BE36" i="2" a="1"/>
  <c r="BE36" i="2" s="1"/>
  <c r="BE35" i="2" a="1"/>
  <c r="BE35" i="2" s="1"/>
  <c r="BC35" i="2" a="1"/>
  <c r="BC35" i="2" s="1"/>
  <c r="BE34" i="2" a="1"/>
  <c r="BE34" i="2" s="1"/>
  <c r="BC34" i="2" a="1"/>
  <c r="BC34" i="2" s="1"/>
  <c r="BE31" i="2" a="1"/>
  <c r="BE31" i="2" s="1"/>
  <c r="BC31" i="2" a="1"/>
  <c r="BC31" i="2" s="1"/>
  <c r="BC29" i="2" a="1"/>
  <c r="BC29" i="2" s="1"/>
  <c r="BE29" i="2" a="1"/>
  <c r="BE29" i="2" s="1"/>
  <c r="BE28" i="2" a="1"/>
  <c r="BE28" i="2" s="1"/>
  <c r="BC28" i="2" a="1"/>
  <c r="BC28" i="2" s="1"/>
  <c r="BE27" i="2" a="1"/>
  <c r="BE27" i="2" s="1"/>
  <c r="BC27" i="2" a="1"/>
  <c r="BC27" i="2" s="1"/>
  <c r="BE26" i="2" a="1"/>
  <c r="BE26" i="2" s="1"/>
  <c r="BC26" i="2" a="1"/>
  <c r="BC26" i="2" s="1"/>
  <c r="BE23" i="2" a="1"/>
  <c r="BE23" i="2" s="1"/>
  <c r="BC23" i="2" a="1"/>
  <c r="BC23" i="2" s="1"/>
  <c r="BE21" i="2" a="1"/>
  <c r="BE21" i="2" s="1"/>
  <c r="BC21" i="2" a="1"/>
  <c r="BC21" i="2" s="1"/>
  <c r="BE20" i="2" a="1"/>
  <c r="BE20" i="2" s="1"/>
  <c r="BC20" i="2" a="1"/>
  <c r="BC20" i="2" s="1"/>
  <c r="BE19" i="2" a="1"/>
  <c r="BE19" i="2" s="1"/>
  <c r="BC19" i="2" a="1"/>
  <c r="BC19" i="2" s="1"/>
  <c r="BE18" i="2" a="1"/>
  <c r="BE18" i="2" s="1"/>
  <c r="BC18" i="2" a="1"/>
  <c r="BC18" i="2" s="1"/>
  <c r="BC15" i="2" a="1"/>
  <c r="BC15" i="2" s="1"/>
  <c r="BE15" i="2" a="1"/>
  <c r="BE15" i="2" s="1"/>
  <c r="BE13" i="2" a="1"/>
  <c r="BE13" i="2" s="1"/>
  <c r="BC13" i="2" a="1"/>
  <c r="BC13" i="2" s="1"/>
  <c r="BC12" i="2" a="1"/>
  <c r="BC12" i="2" s="1"/>
  <c r="BE12" i="2" a="1"/>
  <c r="BE12" i="2" s="1"/>
  <c r="AV101" i="2" a="1"/>
  <c r="AV101" i="2" s="1"/>
  <c r="AX101" i="2" a="1"/>
  <c r="AX101" i="2" s="1"/>
  <c r="AV99" i="2" a="1"/>
  <c r="AV99" i="2" s="1"/>
  <c r="AX99" i="2" a="1"/>
  <c r="AX99" i="2" s="1"/>
  <c r="AX97" i="2" a="1"/>
  <c r="AX97" i="2" s="1"/>
  <c r="AV97" i="2" a="1"/>
  <c r="AV97" i="2" s="1"/>
  <c r="AV95" i="2" a="1"/>
  <c r="AV95" i="2" s="1"/>
  <c r="AX95" i="2" a="1"/>
  <c r="AX95" i="2" s="1"/>
  <c r="AX93" i="2" a="1"/>
  <c r="AX93" i="2" s="1"/>
  <c r="AV93" i="2" a="1"/>
  <c r="AV93" i="2" s="1"/>
  <c r="AV91" i="2" a="1"/>
  <c r="AV91" i="2" s="1"/>
  <c r="AX91" i="2" a="1"/>
  <c r="AX91" i="2" s="1"/>
  <c r="AX89" i="2" a="1"/>
  <c r="AX89" i="2" s="1"/>
  <c r="AV89" i="2" a="1"/>
  <c r="AV89" i="2" s="1"/>
  <c r="AX87" i="2" a="1"/>
  <c r="AX87" i="2" s="1"/>
  <c r="AV87" i="2" a="1"/>
  <c r="AV87" i="2" s="1"/>
  <c r="AX85" i="2" a="1"/>
  <c r="AX85" i="2" s="1"/>
  <c r="AV85" i="2" a="1"/>
  <c r="AV85" i="2" s="1"/>
  <c r="AX83" i="2" a="1"/>
  <c r="AX83" i="2" s="1"/>
  <c r="AV83" i="2" a="1"/>
  <c r="AV83" i="2" s="1"/>
  <c r="AX81" i="2" a="1"/>
  <c r="AX81" i="2" s="1"/>
  <c r="AV81" i="2" a="1"/>
  <c r="AV81" i="2" s="1"/>
  <c r="AX79" i="2" a="1"/>
  <c r="AX79" i="2" s="1"/>
  <c r="AV79" i="2" a="1"/>
  <c r="AV79" i="2" s="1"/>
  <c r="AX77" i="2" a="1"/>
  <c r="AX77" i="2" s="1"/>
  <c r="AV77" i="2" a="1"/>
  <c r="AV77" i="2" s="1"/>
  <c r="AV75" i="2" a="1"/>
  <c r="AV75" i="2" s="1"/>
  <c r="AX75" i="2" a="1"/>
  <c r="AX75" i="2" s="1"/>
  <c r="AV74" i="2" a="1"/>
  <c r="AV74" i="2" s="1"/>
  <c r="AV73" i="2" a="1"/>
  <c r="AV73" i="2" s="1"/>
  <c r="AX73" i="2" a="1"/>
  <c r="AX73" i="2" s="1"/>
  <c r="AX71" i="2" a="1"/>
  <c r="AX71" i="2" s="1"/>
  <c r="AV71" i="2" a="1"/>
  <c r="AV71" i="2" s="1"/>
  <c r="AX69" i="2" a="1"/>
  <c r="AX69" i="2" s="1"/>
  <c r="AV69" i="2" a="1"/>
  <c r="AV69" i="2" s="1"/>
  <c r="AX67" i="2" a="1"/>
  <c r="AX67" i="2" s="1"/>
  <c r="AV67" i="2" a="1"/>
  <c r="AV67" i="2" s="1"/>
  <c r="AV65" i="2" a="1"/>
  <c r="AV65" i="2" s="1"/>
  <c r="AX65" i="2" a="1"/>
  <c r="AX65" i="2" s="1"/>
  <c r="AX63" i="2" a="1"/>
  <c r="AX63" i="2" s="1"/>
  <c r="AV63" i="2" a="1"/>
  <c r="AV63" i="2" s="1"/>
  <c r="AV61" i="2" a="1"/>
  <c r="AV61" i="2" s="1"/>
  <c r="AX61" i="2" a="1"/>
  <c r="AX61" i="2" s="1"/>
  <c r="AX59" i="2" a="1"/>
  <c r="AX59" i="2" s="1"/>
  <c r="AV59" i="2" a="1"/>
  <c r="AV59" i="2" s="1"/>
  <c r="AX57" i="2" a="1"/>
  <c r="AX57" i="2" s="1"/>
  <c r="AV57" i="2" a="1"/>
  <c r="AV57" i="2" s="1"/>
  <c r="AX55" i="2" a="1"/>
  <c r="AX55" i="2" s="1"/>
  <c r="AV55" i="2" a="1"/>
  <c r="AV55" i="2" s="1"/>
  <c r="AX54" i="2" a="1"/>
  <c r="AX54" i="2" s="1"/>
  <c r="AV53" i="2" a="1"/>
  <c r="AV53" i="2" s="1"/>
  <c r="AX53" i="2" a="1"/>
  <c r="AX53" i="2" s="1"/>
  <c r="AV51" i="2" a="1"/>
  <c r="AV51" i="2" s="1"/>
  <c r="AX51" i="2" a="1"/>
  <c r="AX51" i="2" s="1"/>
  <c r="AV49" i="2" a="1"/>
  <c r="AV49" i="2" s="1"/>
  <c r="AX49" i="2" a="1"/>
  <c r="AX49" i="2" s="1"/>
  <c r="AX48" i="2" a="1"/>
  <c r="AX48" i="2" s="1"/>
  <c r="AX47" i="2" a="1"/>
  <c r="AX47" i="2" s="1"/>
  <c r="AV47" i="2" a="1"/>
  <c r="AV47" i="2" s="1"/>
  <c r="AX46" i="2" a="1"/>
  <c r="AX46" i="2" s="1"/>
  <c r="AV46" i="2" a="1"/>
  <c r="AV46" i="2" s="1"/>
  <c r="AX45" i="2" a="1"/>
  <c r="AX45" i="2" s="1"/>
  <c r="AV45" i="2" a="1"/>
  <c r="AV45" i="2" s="1"/>
  <c r="AX43" i="2" a="1"/>
  <c r="AX43" i="2" s="1"/>
  <c r="AV43" i="2" a="1"/>
  <c r="AV43" i="2" s="1"/>
  <c r="AX42" i="2" a="1"/>
  <c r="AX42" i="2" s="1"/>
  <c r="AV42" i="2" a="1"/>
  <c r="AV42" i="2" s="1"/>
  <c r="AX41" i="2" a="1"/>
  <c r="AX41" i="2" s="1"/>
  <c r="AV41" i="2" a="1"/>
  <c r="AV41" i="2" s="1"/>
  <c r="AX40" i="2" a="1"/>
  <c r="AX40" i="2" s="1"/>
  <c r="AV39" i="2" a="1"/>
  <c r="AV39" i="2" s="1"/>
  <c r="AX39" i="2" a="1"/>
  <c r="AX39" i="2" s="1"/>
  <c r="AV38" i="2" a="1"/>
  <c r="AV38" i="2" s="1"/>
  <c r="AX38" i="2" a="1"/>
  <c r="AX38" i="2" s="1"/>
  <c r="AV37" i="2" a="1"/>
  <c r="AV37" i="2" s="1"/>
  <c r="AX37" i="2" a="1"/>
  <c r="AX37" i="2" s="1"/>
  <c r="AV35" i="2" a="1"/>
  <c r="AV35" i="2" s="1"/>
  <c r="AX35" i="2" a="1"/>
  <c r="AX35" i="2" s="1"/>
  <c r="AX34" i="2" a="1"/>
  <c r="AX34" i="2" s="1"/>
  <c r="AV34" i="2" a="1"/>
  <c r="AV34" i="2" s="1"/>
  <c r="AX33" i="2" a="1"/>
  <c r="AX33" i="2" s="1"/>
  <c r="AV33" i="2" a="1"/>
  <c r="AV33" i="2" s="1"/>
  <c r="AV32" i="2" a="1"/>
  <c r="AV32" i="2" s="1"/>
  <c r="AX32" i="2" a="1"/>
  <c r="AX32" i="2" s="1"/>
  <c r="AX31" i="2" a="1"/>
  <c r="AX31" i="2" s="1"/>
  <c r="AV31" i="2" a="1"/>
  <c r="AV31" i="2" s="1"/>
  <c r="AV30" i="2" a="1"/>
  <c r="AV30" i="2" s="1"/>
  <c r="AX30" i="2" a="1"/>
  <c r="AX30" i="2" s="1"/>
  <c r="AX29" i="2" a="1"/>
  <c r="AX29" i="2" s="1"/>
  <c r="AV29" i="2" a="1"/>
  <c r="AV29" i="2" s="1"/>
  <c r="AV28" i="2" a="1"/>
  <c r="AV28" i="2" s="1"/>
  <c r="AX28" i="2" a="1"/>
  <c r="AX28" i="2" s="1"/>
  <c r="AV27" i="2" a="1"/>
  <c r="AV27" i="2" s="1"/>
  <c r="AX27" i="2" a="1"/>
  <c r="AX27" i="2" s="1"/>
  <c r="AX26" i="2" a="1"/>
  <c r="AX26" i="2" s="1"/>
  <c r="AV26" i="2" a="1"/>
  <c r="AV26" i="2" s="1"/>
  <c r="AX25" i="2" a="1"/>
  <c r="AX25" i="2" s="1"/>
  <c r="AV25" i="2" a="1"/>
  <c r="AV25" i="2" s="1"/>
  <c r="AX24" i="2" a="1"/>
  <c r="AX24" i="2" s="1"/>
  <c r="AV24" i="2" a="1"/>
  <c r="AV24" i="2" s="1"/>
  <c r="AX23" i="2" a="1"/>
  <c r="AX23" i="2" s="1"/>
  <c r="AV23" i="2" a="1"/>
  <c r="AV23" i="2" s="1"/>
  <c r="AV22" i="2" a="1"/>
  <c r="AV22" i="2" s="1"/>
  <c r="AX22" i="2" a="1"/>
  <c r="AX22" i="2" s="1"/>
  <c r="AX21" i="2" a="1"/>
  <c r="AX21" i="2" s="1"/>
  <c r="AV21" i="2" a="1"/>
  <c r="AV21" i="2" s="1"/>
  <c r="AX20" i="2" a="1"/>
  <c r="AX20" i="2" s="1"/>
  <c r="AV20" i="2" a="1"/>
  <c r="AV20" i="2" s="1"/>
  <c r="AV19" i="2" a="1"/>
  <c r="AV19" i="2" s="1"/>
  <c r="AX19" i="2" a="1"/>
  <c r="AX19" i="2" s="1"/>
  <c r="AV18" i="2" a="1"/>
  <c r="AV18" i="2" s="1"/>
  <c r="AX18" i="2" a="1"/>
  <c r="AX18" i="2" s="1"/>
  <c r="AV17" i="2" a="1"/>
  <c r="AV17" i="2" s="1"/>
  <c r="AX17" i="2" a="1"/>
  <c r="AX17" i="2" s="1"/>
  <c r="AV16" i="2" a="1"/>
  <c r="AV16" i="2" s="1"/>
  <c r="AV15" i="2" a="1"/>
  <c r="AV15" i="2" s="1"/>
  <c r="AX15" i="2" a="1"/>
  <c r="AX15" i="2" s="1"/>
  <c r="AV14" i="2" a="1"/>
  <c r="AV14" i="2" s="1"/>
  <c r="AX14" i="2" a="1"/>
  <c r="AX14" i="2" s="1"/>
  <c r="AX13" i="2" a="1"/>
  <c r="AX13" i="2" s="1"/>
  <c r="AV13" i="2" a="1"/>
  <c r="AV13" i="2" s="1"/>
  <c r="AV6" i="2" a="1"/>
  <c r="AV6" i="2" s="1"/>
  <c r="AQ101" i="2" a="1"/>
  <c r="AQ101" i="2" s="1"/>
  <c r="AO101" i="2" a="1"/>
  <c r="AO101" i="2" s="1"/>
  <c r="AQ100" i="2" a="1"/>
  <c r="AQ100" i="2" s="1"/>
  <c r="AO100" i="2" a="1"/>
  <c r="AO100" i="2" s="1"/>
  <c r="AO99" i="2" a="1"/>
  <c r="AO99" i="2" s="1"/>
  <c r="AQ99" i="2" a="1"/>
  <c r="AQ99" i="2" s="1"/>
  <c r="AQ98" i="2" a="1"/>
  <c r="AQ98" i="2" s="1"/>
  <c r="AO98" i="2" a="1"/>
  <c r="AO98" i="2" s="1"/>
  <c r="AO97" i="2" a="1"/>
  <c r="AO97" i="2" s="1"/>
  <c r="AQ97" i="2" a="1"/>
  <c r="AQ97" i="2" s="1"/>
  <c r="AO96" i="2" a="1"/>
  <c r="AO96" i="2" s="1"/>
  <c r="AQ96" i="2" a="1"/>
  <c r="AQ96" i="2" s="1"/>
  <c r="AO95" i="2" a="1"/>
  <c r="AO95" i="2" s="1"/>
  <c r="AQ95" i="2" a="1"/>
  <c r="AQ95" i="2" s="1"/>
  <c r="AO94" i="2" a="1"/>
  <c r="AO94" i="2" s="1"/>
  <c r="AQ94" i="2" a="1"/>
  <c r="AQ94" i="2" s="1"/>
  <c r="AQ93" i="2" a="1"/>
  <c r="AQ93" i="2" s="1"/>
  <c r="AO93" i="2" a="1"/>
  <c r="AO93" i="2" s="1"/>
  <c r="AO92" i="2" a="1"/>
  <c r="AO92" i="2" s="1"/>
  <c r="AQ92" i="2" a="1"/>
  <c r="AQ92" i="2" s="1"/>
  <c r="AO91" i="2" a="1"/>
  <c r="AO91" i="2" s="1"/>
  <c r="AQ91" i="2" a="1"/>
  <c r="AQ91" i="2" s="1"/>
  <c r="AQ90" i="2" a="1"/>
  <c r="AQ90" i="2" s="1"/>
  <c r="AO90" i="2" a="1"/>
  <c r="AO90" i="2" s="1"/>
  <c r="AQ89" i="2" a="1"/>
  <c r="AQ89" i="2" s="1"/>
  <c r="AO89" i="2" a="1"/>
  <c r="AO89" i="2" s="1"/>
  <c r="AO88" i="2" a="1"/>
  <c r="AO88" i="2" s="1"/>
  <c r="AQ88" i="2" a="1"/>
  <c r="AQ88" i="2" s="1"/>
  <c r="AO87" i="2" a="1"/>
  <c r="AO87" i="2" s="1"/>
  <c r="AQ87" i="2" a="1"/>
  <c r="AQ87" i="2" s="1"/>
  <c r="AQ86" i="2" a="1"/>
  <c r="AQ86" i="2" s="1"/>
  <c r="AO86" i="2" a="1"/>
  <c r="AO86" i="2" s="1"/>
  <c r="AQ85" i="2" a="1"/>
  <c r="AQ85" i="2" s="1"/>
  <c r="AO85" i="2" a="1"/>
  <c r="AO85" i="2" s="1"/>
  <c r="AO84" i="2" a="1"/>
  <c r="AO84" i="2" s="1"/>
  <c r="AQ84" i="2" a="1"/>
  <c r="AQ84" i="2" s="1"/>
  <c r="AO83" i="2" a="1"/>
  <c r="AO83" i="2" s="1"/>
  <c r="AQ83" i="2" a="1"/>
  <c r="AQ83" i="2" s="1"/>
  <c r="AQ82" i="2" a="1"/>
  <c r="AQ82" i="2" s="1"/>
  <c r="AO82" i="2" a="1"/>
  <c r="AO82" i="2" s="1"/>
  <c r="AQ81" i="2" a="1"/>
  <c r="AQ81" i="2" s="1"/>
  <c r="AO81" i="2" a="1"/>
  <c r="AO81" i="2" s="1"/>
  <c r="AO80" i="2" a="1"/>
  <c r="AO80" i="2" s="1"/>
  <c r="AQ80" i="2" a="1"/>
  <c r="AQ80" i="2" s="1"/>
  <c r="AQ79" i="2" a="1"/>
  <c r="AQ79" i="2" s="1"/>
  <c r="AO79" i="2" a="1"/>
  <c r="AO79" i="2" s="1"/>
  <c r="AQ78" i="2" a="1"/>
  <c r="AQ78" i="2" s="1"/>
  <c r="AO78" i="2" a="1"/>
  <c r="AO78" i="2" s="1"/>
  <c r="AO77" i="2" a="1"/>
  <c r="AO77" i="2" s="1"/>
  <c r="AQ77" i="2" a="1"/>
  <c r="AQ77" i="2" s="1"/>
  <c r="AQ74" i="2" a="1"/>
  <c r="AQ74" i="2" s="1"/>
  <c r="AO74" i="2" a="1"/>
  <c r="AO74" i="2" s="1"/>
  <c r="AQ73" i="2" a="1"/>
  <c r="AQ73" i="2" s="1"/>
  <c r="AO73" i="2" a="1"/>
  <c r="AO73" i="2" s="1"/>
  <c r="AO72" i="2" a="1"/>
  <c r="AO72" i="2" s="1"/>
  <c r="AQ72" i="2" a="1"/>
  <c r="AQ72" i="2" s="1"/>
  <c r="AO71" i="2" a="1"/>
  <c r="AO71" i="2" s="1"/>
  <c r="AQ71" i="2" a="1"/>
  <c r="AQ71" i="2" s="1"/>
  <c r="AQ66" i="2" a="1"/>
  <c r="AQ66" i="2" s="1"/>
  <c r="AO66" i="2" a="1"/>
  <c r="AO66" i="2" s="1"/>
  <c r="AO65" i="2" a="1"/>
  <c r="AO65" i="2" s="1"/>
  <c r="AQ65" i="2" a="1"/>
  <c r="AQ65" i="2" s="1"/>
  <c r="AQ64" i="2" a="1"/>
  <c r="AQ64" i="2" s="1"/>
  <c r="AO64" i="2" a="1"/>
  <c r="AO64" i="2" s="1"/>
  <c r="AQ62" i="2" a="1"/>
  <c r="AQ62" i="2" s="1"/>
  <c r="AO62" i="2" a="1"/>
  <c r="AO62" i="2" s="1"/>
  <c r="AO60" i="2" a="1"/>
  <c r="AO60" i="2" s="1"/>
  <c r="AQ60" i="2" a="1"/>
  <c r="AQ60" i="2" s="1"/>
  <c r="AO59" i="2" a="1"/>
  <c r="AO59" i="2" s="1"/>
  <c r="AQ59" i="2" a="1"/>
  <c r="AQ59" i="2" s="1"/>
  <c r="AQ58" i="2" a="1"/>
  <c r="AQ58" i="2" s="1"/>
  <c r="AO58" i="2" a="1"/>
  <c r="AO58" i="2" s="1"/>
  <c r="AQ57" i="2" a="1"/>
  <c r="AQ57" i="2" s="1"/>
  <c r="AO57" i="2" a="1"/>
  <c r="AO57" i="2" s="1"/>
  <c r="AO56" i="2" a="1"/>
  <c r="AO56" i="2" s="1"/>
  <c r="AQ56" i="2" a="1"/>
  <c r="AQ56" i="2" s="1"/>
  <c r="AO53" i="2" a="1"/>
  <c r="AO53" i="2" s="1"/>
  <c r="AQ50" i="2" a="1"/>
  <c r="AQ50" i="2" s="1"/>
  <c r="AO50" i="2" a="1"/>
  <c r="AO50" i="2" s="1"/>
  <c r="AQ46" i="2" a="1"/>
  <c r="AQ46" i="2" s="1"/>
  <c r="AO46" i="2" a="1"/>
  <c r="AO46" i="2" s="1"/>
  <c r="AO42" i="2" a="1"/>
  <c r="AO42" i="2" s="1"/>
  <c r="AQ42" i="2" a="1"/>
  <c r="AQ42" i="2" s="1"/>
  <c r="AO41" i="2" a="1"/>
  <c r="AO41" i="2" s="1"/>
  <c r="AQ41" i="2" a="1"/>
  <c r="AQ41" i="2" s="1"/>
  <c r="AO40" i="2" a="1"/>
  <c r="AO40" i="2" s="1"/>
  <c r="AQ40" i="2" a="1"/>
  <c r="AQ40" i="2" s="1"/>
  <c r="AQ39" i="2" a="1"/>
  <c r="AQ39" i="2" s="1"/>
  <c r="AO39" i="2" a="1"/>
  <c r="AO39" i="2" s="1"/>
  <c r="AQ38" i="2" a="1"/>
  <c r="AQ38" i="2" s="1"/>
  <c r="AO38" i="2" a="1"/>
  <c r="AO38" i="2" s="1"/>
  <c r="AQ34" i="2" a="1"/>
  <c r="AQ34" i="2" s="1"/>
  <c r="AO34" i="2" a="1"/>
  <c r="AO34" i="2" s="1"/>
  <c r="AO33" i="2" a="1"/>
  <c r="AO33" i="2" s="1"/>
  <c r="AQ33" i="2" a="1"/>
  <c r="AQ33" i="2" s="1"/>
  <c r="AO32" i="2" a="1"/>
  <c r="AO32" i="2" s="1"/>
  <c r="AQ32" i="2" a="1"/>
  <c r="AQ32" i="2" s="1"/>
  <c r="AQ31" i="2" a="1"/>
  <c r="AQ31" i="2" s="1"/>
  <c r="AO31" i="2" a="1"/>
  <c r="AO31" i="2" s="1"/>
  <c r="AQ30" i="2" a="1"/>
  <c r="AQ30" i="2" s="1"/>
  <c r="AO30" i="2" a="1"/>
  <c r="AO30" i="2" s="1"/>
  <c r="AO26" i="2" a="1"/>
  <c r="AO26" i="2" s="1"/>
  <c r="AQ26" i="2" a="1"/>
  <c r="AQ26" i="2" s="1"/>
  <c r="AO25" i="2" a="1"/>
  <c r="AO25" i="2" s="1"/>
  <c r="AQ25" i="2" a="1"/>
  <c r="AQ25" i="2" s="1"/>
  <c r="AQ24" i="2" a="1"/>
  <c r="AQ24" i="2" s="1"/>
  <c r="AO24" i="2" a="1"/>
  <c r="AO24" i="2" s="1"/>
  <c r="AQ23" i="2" a="1"/>
  <c r="AQ23" i="2" s="1"/>
  <c r="AO23" i="2" a="1"/>
  <c r="AO23" i="2" s="1"/>
  <c r="AQ22" i="2" a="1"/>
  <c r="AQ22" i="2" s="1"/>
  <c r="AO22" i="2" a="1"/>
  <c r="AO22" i="2" s="1"/>
  <c r="AQ18" i="2" a="1"/>
  <c r="AQ18" i="2" s="1"/>
  <c r="AO18" i="2" a="1"/>
  <c r="AO18" i="2" s="1"/>
  <c r="AO17" i="2" a="1"/>
  <c r="AO17" i="2" s="1"/>
  <c r="AQ17" i="2" a="1"/>
  <c r="AQ17" i="2" s="1"/>
  <c r="AO16" i="2" a="1"/>
  <c r="AO16" i="2" s="1"/>
  <c r="AQ16" i="2" a="1"/>
  <c r="AQ16" i="2" s="1"/>
  <c r="AO15" i="2" a="1"/>
  <c r="AO15" i="2" s="1"/>
  <c r="AQ15" i="2" a="1"/>
  <c r="AQ15" i="2" s="1"/>
  <c r="AO14" i="2" a="1"/>
  <c r="AO14" i="2" s="1"/>
  <c r="AQ14" i="2" a="1"/>
  <c r="AQ14" i="2" s="1"/>
  <c r="AJ101" i="2" a="1"/>
  <c r="AJ101" i="2" s="1"/>
  <c r="AH101" i="2" a="1"/>
  <c r="AH101" i="2" s="1"/>
  <c r="AJ100" i="2" a="1"/>
  <c r="AJ100" i="2" s="1"/>
  <c r="AH100" i="2" a="1"/>
  <c r="AH100" i="2" s="1"/>
  <c r="AJ98" i="2" a="1"/>
  <c r="AJ98" i="2" s="1"/>
  <c r="AH98" i="2" a="1"/>
  <c r="AH98" i="2" s="1"/>
  <c r="AH96" i="2" a="1"/>
  <c r="AH96" i="2" s="1"/>
  <c r="AJ96" i="2" a="1"/>
  <c r="AJ96" i="2" s="1"/>
  <c r="AH95" i="2" a="1"/>
  <c r="AH95" i="2" s="1"/>
  <c r="AJ95" i="2" a="1"/>
  <c r="AJ95" i="2" s="1"/>
  <c r="AJ94" i="2" a="1"/>
  <c r="AJ94" i="2" s="1"/>
  <c r="AH94" i="2" a="1"/>
  <c r="AH94" i="2" s="1"/>
  <c r="AJ93" i="2" a="1"/>
  <c r="AJ93" i="2" s="1"/>
  <c r="AH93" i="2" a="1"/>
  <c r="AH93" i="2" s="1"/>
  <c r="AH92" i="2" a="1"/>
  <c r="AH92" i="2" s="1"/>
  <c r="AJ92" i="2" a="1"/>
  <c r="AJ92" i="2" s="1"/>
  <c r="AJ90" i="2" a="1"/>
  <c r="AJ90" i="2" s="1"/>
  <c r="AH90" i="2" a="1"/>
  <c r="AH90" i="2" s="1"/>
  <c r="AH88" i="2" a="1"/>
  <c r="AH88" i="2" s="1"/>
  <c r="AJ88" i="2" a="1"/>
  <c r="AJ88" i="2" s="1"/>
  <c r="AJ87" i="2" a="1"/>
  <c r="AJ87" i="2" s="1"/>
  <c r="AH87" i="2" a="1"/>
  <c r="AH87" i="2" s="1"/>
  <c r="AH86" i="2" a="1"/>
  <c r="AH86" i="2" s="1"/>
  <c r="AJ86" i="2" a="1"/>
  <c r="AJ86" i="2" s="1"/>
  <c r="AH84" i="2" a="1"/>
  <c r="AH84" i="2" s="1"/>
  <c r="AJ84" i="2" a="1"/>
  <c r="AJ84" i="2" s="1"/>
  <c r="AH83" i="2" a="1"/>
  <c r="AH83" i="2" s="1"/>
  <c r="AJ83" i="2" a="1"/>
  <c r="AJ83" i="2" s="1"/>
  <c r="AH80" i="2" a="1"/>
  <c r="AH80" i="2" s="1"/>
  <c r="AJ80" i="2" a="1"/>
  <c r="AJ80" i="2" s="1"/>
  <c r="AH79" i="2" a="1"/>
  <c r="AH79" i="2" s="1"/>
  <c r="AJ79" i="2" a="1"/>
  <c r="AJ79" i="2" s="1"/>
  <c r="AH78" i="2" a="1"/>
  <c r="AH78" i="2" s="1"/>
  <c r="AH76" i="2" a="1"/>
  <c r="AH76" i="2" s="1"/>
  <c r="AJ76" i="2" a="1"/>
  <c r="AJ76" i="2" s="1"/>
  <c r="AJ75" i="2" a="1"/>
  <c r="AJ75" i="2" s="1"/>
  <c r="AH75" i="2" a="1"/>
  <c r="AH75" i="2" s="1"/>
  <c r="AH74" i="2" a="1"/>
  <c r="AH74" i="2" s="1"/>
  <c r="AH73" i="2" a="1"/>
  <c r="AH73" i="2" s="1"/>
  <c r="AH72" i="2" a="1"/>
  <c r="AH72" i="2" s="1"/>
  <c r="AJ72" i="2" a="1"/>
  <c r="AJ72" i="2" s="1"/>
  <c r="AH71" i="2" a="1"/>
  <c r="AH71" i="2" s="1"/>
  <c r="AJ71" i="2" a="1"/>
  <c r="AJ71" i="2" s="1"/>
  <c r="AH69" i="2" a="1"/>
  <c r="AH69" i="2" s="1"/>
  <c r="AJ69" i="2" a="1"/>
  <c r="AJ69" i="2" s="1"/>
  <c r="AJ67" i="2" a="1"/>
  <c r="AJ67" i="2" s="1"/>
  <c r="AH67" i="2" a="1"/>
  <c r="AH67" i="2" s="1"/>
  <c r="AJ66" i="2" a="1"/>
  <c r="AJ66" i="2" s="1"/>
  <c r="AH65" i="2" a="1"/>
  <c r="AH65" i="2" s="1"/>
  <c r="AJ65" i="2" a="1"/>
  <c r="AJ65" i="2" s="1"/>
  <c r="AJ63" i="2" a="1"/>
  <c r="AJ63" i="2" s="1"/>
  <c r="AH63" i="2" a="1"/>
  <c r="AH63" i="2" s="1"/>
  <c r="AJ60" i="2" a="1"/>
  <c r="AJ60" i="2" s="1"/>
  <c r="AH60" i="2" a="1"/>
  <c r="AH60" i="2" s="1"/>
  <c r="AJ59" i="2" a="1"/>
  <c r="AJ59" i="2" s="1"/>
  <c r="AH59" i="2" a="1"/>
  <c r="AH59" i="2" s="1"/>
  <c r="AH56" i="2" a="1"/>
  <c r="AH56" i="2" s="1"/>
  <c r="AJ56" i="2" a="1"/>
  <c r="AJ56" i="2" s="1"/>
  <c r="AJ55" i="2" a="1"/>
  <c r="AJ55" i="2" s="1"/>
  <c r="AH55" i="2" a="1"/>
  <c r="AH55" i="2" s="1"/>
  <c r="AH54" i="2" a="1"/>
  <c r="AH54" i="2" s="1"/>
  <c r="AJ54" i="2" a="1"/>
  <c r="AJ54" i="2" s="1"/>
  <c r="AH51" i="2" a="1"/>
  <c r="AH51" i="2" s="1"/>
  <c r="AJ51" i="2" a="1"/>
  <c r="AJ51" i="2" s="1"/>
  <c r="AJ50" i="2" a="1"/>
  <c r="AJ50" i="2" s="1"/>
  <c r="AH50" i="2" a="1"/>
  <c r="AH50" i="2" s="1"/>
  <c r="AH47" i="2" a="1"/>
  <c r="AH47" i="2" s="1"/>
  <c r="AJ47" i="2" a="1"/>
  <c r="AJ47" i="2" s="1"/>
  <c r="AJ46" i="2" a="1"/>
  <c r="AJ46" i="2" s="1"/>
  <c r="AH46" i="2" a="1"/>
  <c r="AH46" i="2" s="1"/>
  <c r="AJ45" i="2" a="1"/>
  <c r="AJ45" i="2" s="1"/>
  <c r="AH45" i="2" a="1"/>
  <c r="AH45" i="2" s="1"/>
  <c r="AH43" i="2" a="1"/>
  <c r="AH43" i="2" s="1"/>
  <c r="AJ43" i="2" a="1"/>
  <c r="AJ43" i="2" s="1"/>
  <c r="AH41" i="2" a="1"/>
  <c r="AH41" i="2" s="1"/>
  <c r="AJ41" i="2" a="1"/>
  <c r="AJ41" i="2" s="1"/>
  <c r="AJ40" i="2" a="1"/>
  <c r="AJ40" i="2" s="1"/>
  <c r="AH40" i="2" a="1"/>
  <c r="AH40" i="2" s="1"/>
  <c r="AJ39" i="2" a="1"/>
  <c r="AJ39" i="2" s="1"/>
  <c r="AH39" i="2" a="1"/>
  <c r="AH39" i="2" s="1"/>
  <c r="AH38" i="2" a="1"/>
  <c r="AH38" i="2" s="1"/>
  <c r="AJ38" i="2" a="1"/>
  <c r="AJ38" i="2" s="1"/>
  <c r="AJ37" i="2" a="1"/>
  <c r="AJ37" i="2" s="1"/>
  <c r="AH37" i="2" a="1"/>
  <c r="AH37" i="2" s="1"/>
  <c r="AJ35" i="2" a="1"/>
  <c r="AJ35" i="2" s="1"/>
  <c r="AH35" i="2" a="1"/>
  <c r="AH35" i="2" s="1"/>
  <c r="AH33" i="2" a="1"/>
  <c r="AH33" i="2" s="1"/>
  <c r="AJ33" i="2" a="1"/>
  <c r="AJ33" i="2" s="1"/>
  <c r="AJ32" i="2" a="1"/>
  <c r="AJ32" i="2" s="1"/>
  <c r="AH32" i="2" a="1"/>
  <c r="AH32" i="2" s="1"/>
  <c r="AJ31" i="2" a="1"/>
  <c r="AJ31" i="2" s="1"/>
  <c r="AH31" i="2" a="1"/>
  <c r="AH31" i="2" s="1"/>
  <c r="AJ30" i="2" a="1"/>
  <c r="AJ30" i="2" s="1"/>
  <c r="AH30" i="2" a="1"/>
  <c r="AH30" i="2" s="1"/>
  <c r="AH29" i="2" a="1"/>
  <c r="AH29" i="2" s="1"/>
  <c r="AJ29" i="2" a="1"/>
  <c r="AJ29" i="2" s="1"/>
  <c r="AJ28" i="2" a="1"/>
  <c r="AJ28" i="2" s="1"/>
  <c r="AH28" i="2" a="1"/>
  <c r="AH28" i="2" s="1"/>
  <c r="AH27" i="2" a="1"/>
  <c r="AH27" i="2" s="1"/>
  <c r="AJ27" i="2" a="1"/>
  <c r="AJ27" i="2" s="1"/>
  <c r="AJ25" i="2" a="1"/>
  <c r="AJ25" i="2" s="1"/>
  <c r="AH25" i="2" a="1"/>
  <c r="AH25" i="2" s="1"/>
  <c r="AJ24" i="2" a="1"/>
  <c r="AJ24" i="2" s="1"/>
  <c r="AH24" i="2" a="1"/>
  <c r="AH24" i="2" s="1"/>
  <c r="AJ23" i="2" a="1"/>
  <c r="AJ23" i="2" s="1"/>
  <c r="AH23" i="2" a="1"/>
  <c r="AH23" i="2" s="1"/>
  <c r="AJ22" i="2" a="1"/>
  <c r="AJ22" i="2" s="1"/>
  <c r="AH22" i="2" a="1"/>
  <c r="AH22" i="2" s="1"/>
  <c r="AH21" i="2" a="1"/>
  <c r="AH21" i="2" s="1"/>
  <c r="AJ21" i="2" a="1"/>
  <c r="AJ21" i="2" s="1"/>
  <c r="AJ19" i="2" a="1"/>
  <c r="AJ19" i="2" s="1"/>
  <c r="AH19" i="2" a="1"/>
  <c r="AH19" i="2" s="1"/>
  <c r="AH17" i="2" a="1"/>
  <c r="AH17" i="2" s="1"/>
  <c r="AJ17" i="2" a="1"/>
  <c r="AJ17" i="2" s="1"/>
  <c r="AJ16" i="2" a="1"/>
  <c r="AJ16" i="2" s="1"/>
  <c r="AH16" i="2" a="1"/>
  <c r="AH16" i="2" s="1"/>
  <c r="AJ15" i="2" a="1"/>
  <c r="AJ15" i="2" s="1"/>
  <c r="AA101" i="2" a="1"/>
  <c r="AA101" i="2" s="1"/>
  <c r="AC101" i="2" a="1"/>
  <c r="AC101" i="2" s="1"/>
  <c r="AA100" i="2" a="1"/>
  <c r="AA100" i="2" s="1"/>
  <c r="AC100" i="2" a="1"/>
  <c r="AC100" i="2" s="1"/>
  <c r="AA99" i="2" a="1"/>
  <c r="AA99" i="2" s="1"/>
  <c r="AC99" i="2" a="1"/>
  <c r="AC99" i="2" s="1"/>
  <c r="AC98" i="2" a="1"/>
  <c r="AC98" i="2" s="1"/>
  <c r="AA98" i="2" a="1"/>
  <c r="AA98" i="2" s="1"/>
  <c r="AA97" i="2" a="1"/>
  <c r="AA97" i="2" s="1"/>
  <c r="AC97" i="2" a="1"/>
  <c r="AC97" i="2" s="1"/>
  <c r="AA96" i="2" a="1"/>
  <c r="AA96" i="2" s="1"/>
  <c r="AC96" i="2" a="1"/>
  <c r="AC96" i="2" s="1"/>
  <c r="AA95" i="2" a="1"/>
  <c r="AA95" i="2" s="1"/>
  <c r="AC95" i="2" a="1"/>
  <c r="AC95" i="2" s="1"/>
  <c r="AA94" i="2" a="1"/>
  <c r="AA94" i="2" s="1"/>
  <c r="AC94" i="2" a="1"/>
  <c r="AC94" i="2" s="1"/>
  <c r="AA93" i="2" a="1"/>
  <c r="AA93" i="2" s="1"/>
  <c r="AC93" i="2" a="1"/>
  <c r="AC93" i="2" s="1"/>
  <c r="AA92" i="2" a="1"/>
  <c r="AA92" i="2" s="1"/>
  <c r="AC92" i="2" a="1"/>
  <c r="AC92" i="2" s="1"/>
  <c r="AA91" i="2" a="1"/>
  <c r="AA91" i="2" s="1"/>
  <c r="AC91" i="2" a="1"/>
  <c r="AC91" i="2" s="1"/>
  <c r="AC90" i="2" a="1"/>
  <c r="AC90" i="2" s="1"/>
  <c r="AA90" i="2" a="1"/>
  <c r="AA90" i="2" s="1"/>
  <c r="AA89" i="2" a="1"/>
  <c r="AA89" i="2" s="1"/>
  <c r="AC89" i="2" a="1"/>
  <c r="AC89" i="2" s="1"/>
  <c r="AA88" i="2" a="1"/>
  <c r="AA88" i="2" s="1"/>
  <c r="AC88" i="2" a="1"/>
  <c r="AC88" i="2" s="1"/>
  <c r="AA87" i="2" a="1"/>
  <c r="AA87" i="2" s="1"/>
  <c r="AC87" i="2" a="1"/>
  <c r="AC87" i="2" s="1"/>
  <c r="AC86" i="2" a="1"/>
  <c r="AC86" i="2" s="1"/>
  <c r="AA86" i="2" a="1"/>
  <c r="AA86" i="2" s="1"/>
  <c r="AC85" i="2" a="1"/>
  <c r="AC85" i="2" s="1"/>
  <c r="AA85" i="2" a="1"/>
  <c r="AA85" i="2" s="1"/>
  <c r="AC84" i="2" a="1"/>
  <c r="AC84" i="2" s="1"/>
  <c r="AA84" i="2" a="1"/>
  <c r="AA84" i="2" s="1"/>
  <c r="AA83" i="2" a="1"/>
  <c r="AA83" i="2" s="1"/>
  <c r="AC83" i="2" a="1"/>
  <c r="AC83" i="2" s="1"/>
  <c r="AC82" i="2" a="1"/>
  <c r="AC82" i="2" s="1"/>
  <c r="AA82" i="2" a="1"/>
  <c r="AA82" i="2" s="1"/>
  <c r="AC81" i="2" a="1"/>
  <c r="AC81" i="2" s="1"/>
  <c r="AA81" i="2" a="1"/>
  <c r="AA81" i="2" s="1"/>
  <c r="AA80" i="2" a="1"/>
  <c r="AA80" i="2" s="1"/>
  <c r="AC80" i="2" a="1"/>
  <c r="AC80" i="2" s="1"/>
  <c r="AA79" i="2" a="1"/>
  <c r="AA79" i="2" s="1"/>
  <c r="AC79" i="2" a="1"/>
  <c r="AC79" i="2" s="1"/>
  <c r="AC78" i="2" a="1"/>
  <c r="AC78" i="2" s="1"/>
  <c r="AA78" i="2" a="1"/>
  <c r="AA78" i="2" s="1"/>
  <c r="AC77" i="2" a="1"/>
  <c r="AC77" i="2" s="1"/>
  <c r="AA77" i="2" a="1"/>
  <c r="AA77" i="2" s="1"/>
  <c r="AA76" i="2" a="1"/>
  <c r="AA76" i="2" s="1"/>
  <c r="AC76" i="2" a="1"/>
  <c r="AC76" i="2" s="1"/>
  <c r="AC75" i="2" a="1"/>
  <c r="AC75" i="2" s="1"/>
  <c r="AA75" i="2" a="1"/>
  <c r="AA75" i="2" s="1"/>
  <c r="AC74" i="2" a="1"/>
  <c r="AC74" i="2" s="1"/>
  <c r="AA74" i="2" a="1"/>
  <c r="AA74" i="2" s="1"/>
  <c r="AC73" i="2" a="1"/>
  <c r="AC73" i="2" s="1"/>
  <c r="AA73" i="2" a="1"/>
  <c r="AA73" i="2" s="1"/>
  <c r="AA68" i="2" a="1"/>
  <c r="AA68" i="2" s="1"/>
  <c r="AC68" i="2" a="1"/>
  <c r="AC68" i="2" s="1"/>
  <c r="AC67" i="2" a="1"/>
  <c r="AC67" i="2" s="1"/>
  <c r="AA67" i="2" a="1"/>
  <c r="AA67" i="2" s="1"/>
  <c r="AA66" i="2" a="1"/>
  <c r="AA66" i="2" s="1"/>
  <c r="AC66" i="2" a="1"/>
  <c r="AC66" i="2" s="1"/>
  <c r="AC65" i="2" a="1"/>
  <c r="AC65" i="2" s="1"/>
  <c r="AA65" i="2" a="1"/>
  <c r="AA65" i="2" s="1"/>
  <c r="AC64" i="2" a="1"/>
  <c r="AC64" i="2" s="1"/>
  <c r="AC60" i="2" a="1"/>
  <c r="AC60" i="2" s="1"/>
  <c r="AA60" i="2" a="1"/>
  <c r="AA60" i="2" s="1"/>
  <c r="AA59" i="2" a="1"/>
  <c r="AA59" i="2" s="1"/>
  <c r="AC59" i="2" a="1"/>
  <c r="AC59" i="2" s="1"/>
  <c r="AA58" i="2" a="1"/>
  <c r="AA58" i="2" s="1"/>
  <c r="AC58" i="2" a="1"/>
  <c r="AC58" i="2" s="1"/>
  <c r="AA56" i="2" a="1"/>
  <c r="AA56" i="2" s="1"/>
  <c r="AC56" i="2" a="1"/>
  <c r="AC56" i="2" s="1"/>
  <c r="AA52" i="2" a="1"/>
  <c r="AA52" i="2" s="1"/>
  <c r="AC52" i="2" a="1"/>
  <c r="AC52" i="2" s="1"/>
  <c r="AC51" i="2" a="1"/>
  <c r="AC51" i="2" s="1"/>
  <c r="AA51" i="2" a="1"/>
  <c r="AA51" i="2" s="1"/>
  <c r="AC50" i="2" a="1"/>
  <c r="AC50" i="2" s="1"/>
  <c r="AA50" i="2" a="1"/>
  <c r="AA50" i="2" s="1"/>
  <c r="AA48" i="2" a="1"/>
  <c r="AA48" i="2" s="1"/>
  <c r="AC48" i="2" a="1"/>
  <c r="AC48" i="2" s="1"/>
  <c r="AA45" i="2" a="1"/>
  <c r="AA45" i="2" s="1"/>
  <c r="AC45" i="2" a="1"/>
  <c r="AC45" i="2" s="1"/>
  <c r="AA43" i="2" a="1"/>
  <c r="AA43" i="2" s="1"/>
  <c r="AC43" i="2" a="1"/>
  <c r="AC43" i="2" s="1"/>
  <c r="AC41" i="2" a="1"/>
  <c r="AC41" i="2" s="1"/>
  <c r="AA41" i="2" a="1"/>
  <c r="AA41" i="2" s="1"/>
  <c r="AC39" i="2" a="1"/>
  <c r="AC39" i="2" s="1"/>
  <c r="AA39" i="2" a="1"/>
  <c r="AA39" i="2" s="1"/>
  <c r="AA37" i="2" a="1"/>
  <c r="AA37" i="2" s="1"/>
  <c r="AC37" i="2" a="1"/>
  <c r="AC37" i="2" s="1"/>
  <c r="AA35" i="2" a="1"/>
  <c r="AA35" i="2" s="1"/>
  <c r="AC35" i="2" a="1"/>
  <c r="AC35" i="2" s="1"/>
  <c r="AC33" i="2" a="1"/>
  <c r="AC33" i="2" s="1"/>
  <c r="AA33" i="2" a="1"/>
  <c r="AA33" i="2" s="1"/>
  <c r="AC31" i="2" a="1"/>
  <c r="AC31" i="2" s="1"/>
  <c r="AA31" i="2" a="1"/>
  <c r="AA31" i="2" s="1"/>
  <c r="AC29" i="2" a="1"/>
  <c r="AC29" i="2" s="1"/>
  <c r="AA29" i="2" a="1"/>
  <c r="AA29" i="2" s="1"/>
  <c r="AA27" i="2" a="1"/>
  <c r="AA27" i="2" s="1"/>
  <c r="AC27" i="2" a="1"/>
  <c r="AC27" i="2" s="1"/>
  <c r="AC25" i="2" a="1"/>
  <c r="AC25" i="2" s="1"/>
  <c r="AA25" i="2" a="1"/>
  <c r="AA25" i="2" s="1"/>
  <c r="AC23" i="2" a="1"/>
  <c r="AC23" i="2" s="1"/>
  <c r="AA23" i="2" a="1"/>
  <c r="AA23" i="2" s="1"/>
  <c r="AA21" i="2" a="1"/>
  <c r="AA21" i="2" s="1"/>
  <c r="AC21" i="2" a="1"/>
  <c r="AC21" i="2" s="1"/>
  <c r="AC19" i="2" a="1"/>
  <c r="AC19" i="2" s="1"/>
  <c r="AA19" i="2" a="1"/>
  <c r="AA19" i="2" s="1"/>
  <c r="AA17" i="2" a="1"/>
  <c r="AA17" i="2" s="1"/>
  <c r="AC17" i="2" a="1"/>
  <c r="AC17" i="2" s="1"/>
  <c r="AA15" i="2" a="1"/>
  <c r="AA15" i="2" s="1"/>
  <c r="AC15" i="2" a="1"/>
  <c r="AC15" i="2" s="1"/>
  <c r="AA13" i="2" a="1"/>
  <c r="AA13" i="2" s="1"/>
  <c r="AC13" i="2" a="1"/>
  <c r="AC13" i="2" s="1"/>
  <c r="AA12" i="2" a="1"/>
  <c r="AA12" i="2" s="1"/>
  <c r="AC4" i="2" a="1"/>
  <c r="AC4" i="2" s="1"/>
  <c r="V101" i="2" a="1"/>
  <c r="V101" i="2" s="1"/>
  <c r="V100" i="2" a="1"/>
  <c r="V100" i="2" s="1"/>
  <c r="T85" i="2" a="1"/>
  <c r="T85" i="2" s="1"/>
  <c r="V75" i="2" a="1"/>
  <c r="V75" i="2" s="1"/>
  <c r="T74" i="2" a="1"/>
  <c r="T74" i="2" s="1"/>
  <c r="T64" i="2" a="1"/>
  <c r="T64" i="2" s="1"/>
  <c r="V63" i="2" a="1"/>
  <c r="V63" i="2" s="1"/>
  <c r="T57" i="2" a="1"/>
  <c r="T57" i="2" s="1"/>
  <c r="T49" i="2" a="1"/>
  <c r="T49" i="2" s="1"/>
  <c r="V48" i="2" a="1"/>
  <c r="V48" i="2" s="1"/>
  <c r="T44" i="2" a="1"/>
  <c r="T44" i="2" s="1"/>
  <c r="V44" i="2" a="1"/>
  <c r="V44" i="2" s="1"/>
  <c r="V41" i="2" a="1"/>
  <c r="V41" i="2" s="1"/>
  <c r="T40" i="2" a="1"/>
  <c r="T40" i="2" s="1"/>
  <c r="V40" i="2" a="1"/>
  <c r="V40" i="2" s="1"/>
  <c r="T36" i="2" a="1"/>
  <c r="T36" i="2" s="1"/>
  <c r="V36" i="2" a="1"/>
  <c r="V36" i="2" s="1"/>
  <c r="T34" i="2" a="1"/>
  <c r="T34" i="2" s="1"/>
  <c r="V32" i="2" a="1"/>
  <c r="V32" i="2" s="1"/>
  <c r="T32" i="2" a="1"/>
  <c r="T32" i="2" s="1"/>
  <c r="V28" i="2" a="1"/>
  <c r="V28" i="2" s="1"/>
  <c r="T28" i="2" a="1"/>
  <c r="T28" i="2" s="1"/>
  <c r="V25" i="2" a="1"/>
  <c r="V25" i="2" s="1"/>
  <c r="O101" i="2" a="1"/>
  <c r="O101" i="2" s="1"/>
  <c r="M101" i="2" a="1"/>
  <c r="M101" i="2" s="1"/>
  <c r="M100" i="2" a="1"/>
  <c r="M100" i="2" s="1"/>
  <c r="O100" i="2" a="1"/>
  <c r="O100" i="2" s="1"/>
  <c r="M99" i="2" a="1"/>
  <c r="M99" i="2" s="1"/>
  <c r="O99" i="2" a="1"/>
  <c r="O99" i="2" s="1"/>
  <c r="O98" i="2" a="1"/>
  <c r="O98" i="2" s="1"/>
  <c r="M98" i="2" a="1"/>
  <c r="M98" i="2" s="1"/>
  <c r="M95" i="2" a="1"/>
  <c r="M95" i="2" s="1"/>
  <c r="O95" i="2" a="1"/>
  <c r="O95" i="2" s="1"/>
  <c r="O94" i="2" a="1"/>
  <c r="O94" i="2" s="1"/>
  <c r="O93" i="2" a="1"/>
  <c r="O93" i="2" s="1"/>
  <c r="M93" i="2" a="1"/>
  <c r="M93" i="2" s="1"/>
  <c r="M92" i="2" a="1"/>
  <c r="M92" i="2" s="1"/>
  <c r="O92" i="2" a="1"/>
  <c r="O92" i="2" s="1"/>
  <c r="M91" i="2" a="1"/>
  <c r="M91" i="2" s="1"/>
  <c r="O91" i="2" a="1"/>
  <c r="O91" i="2" s="1"/>
  <c r="O90" i="2" a="1"/>
  <c r="O90" i="2" s="1"/>
  <c r="M90" i="2" a="1"/>
  <c r="M90" i="2" s="1"/>
  <c r="O89" i="2" a="1"/>
  <c r="O89" i="2" s="1"/>
  <c r="M89" i="2" a="1"/>
  <c r="M89" i="2" s="1"/>
  <c r="M88" i="2" a="1"/>
  <c r="M88" i="2" s="1"/>
  <c r="O88" i="2" a="1"/>
  <c r="O88" i="2" s="1"/>
  <c r="M87" i="2" a="1"/>
  <c r="M87" i="2" s="1"/>
  <c r="O87" i="2" a="1"/>
  <c r="O87" i="2" s="1"/>
  <c r="O85" i="2" a="1"/>
  <c r="O85" i="2" s="1"/>
  <c r="M85" i="2" a="1"/>
  <c r="M85" i="2" s="1"/>
  <c r="M84" i="2" a="1"/>
  <c r="M84" i="2" s="1"/>
  <c r="O84" i="2" a="1"/>
  <c r="O84" i="2" s="1"/>
  <c r="O83" i="2" a="1"/>
  <c r="O83" i="2" s="1"/>
  <c r="M83" i="2" a="1"/>
  <c r="M83" i="2" s="1"/>
  <c r="M82" i="2" a="1"/>
  <c r="M82" i="2" s="1"/>
  <c r="O82" i="2" a="1"/>
  <c r="O82" i="2" s="1"/>
  <c r="O81" i="2" a="1"/>
  <c r="O81" i="2" s="1"/>
  <c r="M81" i="2" a="1"/>
  <c r="M81" i="2" s="1"/>
  <c r="M78" i="2" a="1"/>
  <c r="M78" i="2" s="1"/>
  <c r="O77" i="2" a="1"/>
  <c r="O77" i="2" s="1"/>
  <c r="M77" i="2" a="1"/>
  <c r="M77" i="2" s="1"/>
  <c r="M75" i="2" a="1"/>
  <c r="M75" i="2" s="1"/>
  <c r="O75" i="2" a="1"/>
  <c r="O75" i="2" s="1"/>
  <c r="O74" i="2" a="1"/>
  <c r="O74" i="2" s="1"/>
  <c r="M74" i="2" a="1"/>
  <c r="M74" i="2" s="1"/>
  <c r="O73" i="2" a="1"/>
  <c r="O73" i="2" s="1"/>
  <c r="M73" i="2" a="1"/>
  <c r="M73" i="2" s="1"/>
  <c r="M71" i="2" a="1"/>
  <c r="M71" i="2" s="1"/>
  <c r="O71" i="2" a="1"/>
  <c r="O71" i="2" s="1"/>
  <c r="O67" i="2" a="1"/>
  <c r="O67" i="2" s="1"/>
  <c r="M67" i="2" a="1"/>
  <c r="M67" i="2" s="1"/>
  <c r="M65" i="2" a="1"/>
  <c r="M65" i="2" s="1"/>
  <c r="O65" i="2" a="1"/>
  <c r="O65" i="2" s="1"/>
  <c r="O64" i="2" a="1"/>
  <c r="O64" i="2" s="1"/>
  <c r="M64" i="2" a="1"/>
  <c r="M64" i="2" s="1"/>
  <c r="O63" i="2" a="1"/>
  <c r="O63" i="2" s="1"/>
  <c r="M63" i="2" a="1"/>
  <c r="M63" i="2" s="1"/>
  <c r="M61" i="2" a="1"/>
  <c r="M61" i="2" s="1"/>
  <c r="O61" i="2" a="1"/>
  <c r="O61" i="2" s="1"/>
  <c r="M60" i="2" a="1"/>
  <c r="M60" i="2" s="1"/>
  <c r="O60" i="2" a="1"/>
  <c r="O60" i="2" s="1"/>
  <c r="O59" i="2" a="1"/>
  <c r="O59" i="2" s="1"/>
  <c r="M59" i="2" a="1"/>
  <c r="M59" i="2" s="1"/>
  <c r="M58" i="2" a="1"/>
  <c r="M58" i="2" s="1"/>
  <c r="O58" i="2" a="1"/>
  <c r="O58" i="2" s="1"/>
  <c r="O57" i="2" a="1"/>
  <c r="O57" i="2" s="1"/>
  <c r="M57" i="2" a="1"/>
  <c r="M57" i="2" s="1"/>
  <c r="M56" i="2" a="1"/>
  <c r="M56" i="2" s="1"/>
  <c r="O56" i="2" a="1"/>
  <c r="O56" i="2" s="1"/>
  <c r="O55" i="2" a="1"/>
  <c r="O55" i="2" s="1"/>
  <c r="M55" i="2" a="1"/>
  <c r="M55" i="2" s="1"/>
  <c r="O54" i="2" a="1"/>
  <c r="O54" i="2" s="1"/>
  <c r="M53" i="2" a="1"/>
  <c r="M53" i="2" s="1"/>
  <c r="O53" i="2" a="1"/>
  <c r="O53" i="2" s="1"/>
  <c r="M52" i="2" a="1"/>
  <c r="M52" i="2" s="1"/>
  <c r="O52" i="2" a="1"/>
  <c r="O52" i="2" s="1"/>
  <c r="M51" i="2" a="1"/>
  <c r="M51" i="2" s="1"/>
  <c r="O51" i="2" a="1"/>
  <c r="O51" i="2" s="1"/>
  <c r="O50" i="2" a="1"/>
  <c r="O50" i="2" s="1"/>
  <c r="M50" i="2" a="1"/>
  <c r="M50" i="2" s="1"/>
  <c r="M49" i="2" a="1"/>
  <c r="M49" i="2" s="1"/>
  <c r="O49" i="2" a="1"/>
  <c r="O49" i="2" s="1"/>
  <c r="O48" i="2" a="1"/>
  <c r="O48" i="2" s="1"/>
  <c r="O47" i="2" a="1"/>
  <c r="O47" i="2" s="1"/>
  <c r="O46" i="2" a="1"/>
  <c r="O46" i="2" s="1"/>
  <c r="O45" i="2" a="1"/>
  <c r="O45" i="2" s="1"/>
  <c r="M45" i="2" a="1"/>
  <c r="M45" i="2" s="1"/>
  <c r="M44" i="2" a="1"/>
  <c r="M44" i="2" s="1"/>
  <c r="O44" i="2" a="1"/>
  <c r="O44" i="2" s="1"/>
  <c r="O43" i="2" a="1"/>
  <c r="O43" i="2" s="1"/>
  <c r="M43" i="2" a="1"/>
  <c r="M43" i="2" s="1"/>
  <c r="O42" i="2" a="1"/>
  <c r="O42" i="2" s="1"/>
  <c r="M42" i="2" a="1"/>
  <c r="M42" i="2" s="1"/>
  <c r="M41" i="2" a="1"/>
  <c r="M41" i="2" s="1"/>
  <c r="O41" i="2" a="1"/>
  <c r="O41" i="2" s="1"/>
  <c r="O40" i="2" a="1"/>
  <c r="O40" i="2" s="1"/>
  <c r="M40" i="2" a="1"/>
  <c r="M40" i="2" s="1"/>
  <c r="O38" i="2" a="1"/>
  <c r="O38" i="2" s="1"/>
  <c r="M38" i="2" a="1"/>
  <c r="M38" i="2" s="1"/>
  <c r="M36" i="2" a="1"/>
  <c r="M36" i="2" s="1"/>
  <c r="O36" i="2" a="1"/>
  <c r="O36" i="2" s="1"/>
  <c r="O35" i="2" a="1"/>
  <c r="O35" i="2" s="1"/>
  <c r="M35" i="2" a="1"/>
  <c r="M35" i="2" s="1"/>
  <c r="O34" i="2" a="1"/>
  <c r="O34" i="2" s="1"/>
  <c r="M34" i="2" a="1"/>
  <c r="M34" i="2" s="1"/>
  <c r="M33" i="2" a="1"/>
  <c r="M33" i="2" s="1"/>
  <c r="O33" i="2" a="1"/>
  <c r="O33" i="2" s="1"/>
  <c r="M32" i="2" a="1"/>
  <c r="M32" i="2" s="1"/>
  <c r="O32" i="2" a="1"/>
  <c r="O32" i="2" s="1"/>
  <c r="O30" i="2" a="1"/>
  <c r="O30" i="2" s="1"/>
  <c r="M30" i="2" a="1"/>
  <c r="M30" i="2" s="1"/>
  <c r="O28" i="2" a="1"/>
  <c r="O28" i="2" s="1"/>
  <c r="M28" i="2" a="1"/>
  <c r="M28" i="2" s="1"/>
  <c r="O27" i="2" a="1"/>
  <c r="O27" i="2" s="1"/>
  <c r="M27" i="2" a="1"/>
  <c r="M27" i="2" s="1"/>
  <c r="M26" i="2" a="1"/>
  <c r="M26" i="2" s="1"/>
  <c r="O26" i="2" a="1"/>
  <c r="O26" i="2" s="1"/>
  <c r="M25" i="2" a="1"/>
  <c r="M25" i="2" s="1"/>
  <c r="O25" i="2" a="1"/>
  <c r="O25" i="2" s="1"/>
  <c r="M24" i="2" a="1"/>
  <c r="M24" i="2" s="1"/>
  <c r="O24" i="2" a="1"/>
  <c r="O24" i="2" s="1"/>
  <c r="M23" i="2" a="1"/>
  <c r="M23" i="2" s="1"/>
  <c r="M22" i="2" a="1"/>
  <c r="M22" i="2" s="1"/>
  <c r="O22" i="2" a="1"/>
  <c r="O22" i="2" s="1"/>
  <c r="M20" i="2" a="1"/>
  <c r="M20" i="2" s="1"/>
  <c r="O20" i="2" a="1"/>
  <c r="O20" i="2" s="1"/>
  <c r="M18" i="2" a="1"/>
  <c r="M18" i="2" s="1"/>
  <c r="O18" i="2" a="1"/>
  <c r="O18" i="2" s="1"/>
  <c r="O16" i="2" a="1"/>
  <c r="O16" i="2" s="1"/>
  <c r="M16" i="2" a="1"/>
  <c r="M16" i="2" s="1"/>
  <c r="O14" i="2" a="1"/>
  <c r="O14" i="2" s="1"/>
  <c r="M10" i="2" a="1"/>
  <c r="M10" i="2" s="1"/>
  <c r="O6" i="2" a="1"/>
  <c r="O6" i="2" s="1"/>
  <c r="O4" i="2" a="1"/>
  <c r="O4" i="2" s="1"/>
  <c r="H101" i="2" a="1"/>
  <c r="H101" i="2" s="1"/>
  <c r="F101" i="2" a="1"/>
  <c r="F101" i="2" s="1"/>
  <c r="H100" i="2" a="1"/>
  <c r="H100" i="2" s="1"/>
  <c r="F100" i="2" a="1"/>
  <c r="F100" i="2" s="1"/>
  <c r="H97" i="2" a="1"/>
  <c r="H97" i="2" s="1"/>
  <c r="F97" i="2" a="1"/>
  <c r="F97" i="2" s="1"/>
  <c r="H96" i="2" a="1"/>
  <c r="H96" i="2" s="1"/>
  <c r="F96" i="2" a="1"/>
  <c r="F96" i="2" s="1"/>
  <c r="H93" i="2" a="1"/>
  <c r="H93" i="2" s="1"/>
  <c r="F93" i="2" a="1"/>
  <c r="F93" i="2" s="1"/>
  <c r="H92" i="2" a="1"/>
  <c r="H92" i="2" s="1"/>
  <c r="F92" i="2" a="1"/>
  <c r="F92" i="2" s="1"/>
  <c r="H90" i="2" a="1"/>
  <c r="H90" i="2" s="1"/>
  <c r="H89" i="2" a="1"/>
  <c r="H89" i="2" s="1"/>
  <c r="F89" i="2" a="1"/>
  <c r="F89" i="2" s="1"/>
  <c r="H88" i="2" a="1"/>
  <c r="H88" i="2" s="1"/>
  <c r="F88" i="2" a="1"/>
  <c r="F88" i="2" s="1"/>
  <c r="H85" i="2" a="1"/>
  <c r="H85" i="2" s="1"/>
  <c r="F85" i="2" a="1"/>
  <c r="F85" i="2" s="1"/>
  <c r="F84" i="2" a="1"/>
  <c r="F84" i="2" s="1"/>
  <c r="H84" i="2" a="1"/>
  <c r="H84" i="2" s="1"/>
  <c r="H81" i="2" a="1"/>
  <c r="H81" i="2" s="1"/>
  <c r="F81" i="2" a="1"/>
  <c r="F81" i="2" s="1"/>
  <c r="F80" i="2" a="1"/>
  <c r="F80" i="2" s="1"/>
  <c r="H80" i="2" a="1"/>
  <c r="H80" i="2" s="1"/>
  <c r="F79" i="2" a="1"/>
  <c r="F79" i="2" s="1"/>
  <c r="H77" i="2" a="1"/>
  <c r="H77" i="2" s="1"/>
  <c r="F77" i="2" a="1"/>
  <c r="F77" i="2" s="1"/>
  <c r="F76" i="2" a="1"/>
  <c r="F76" i="2" s="1"/>
  <c r="H76" i="2" a="1"/>
  <c r="H76" i="2" s="1"/>
  <c r="H73" i="2" a="1"/>
  <c r="H73" i="2" s="1"/>
  <c r="F73" i="2" a="1"/>
  <c r="F73" i="2" s="1"/>
  <c r="F72" i="2" a="1"/>
  <c r="F72" i="2" s="1"/>
  <c r="H72" i="2" a="1"/>
  <c r="H72" i="2" s="1"/>
  <c r="H69" i="2" a="1"/>
  <c r="H69" i="2" s="1"/>
  <c r="F69" i="2" a="1"/>
  <c r="F69" i="2" s="1"/>
  <c r="F68" i="2" a="1"/>
  <c r="F68" i="2" s="1"/>
  <c r="H68" i="2" a="1"/>
  <c r="H68" i="2" s="1"/>
  <c r="H65" i="2" a="1"/>
  <c r="H65" i="2" s="1"/>
  <c r="F65" i="2" a="1"/>
  <c r="F65" i="2" s="1"/>
  <c r="H64" i="2" a="1"/>
  <c r="H64" i="2" s="1"/>
  <c r="F64" i="2" a="1"/>
  <c r="F64" i="2" s="1"/>
  <c r="F61" i="2" a="1"/>
  <c r="F61" i="2" s="1"/>
  <c r="H61" i="2" a="1"/>
  <c r="H61" i="2" s="1"/>
  <c r="H60" i="2" a="1"/>
  <c r="H60" i="2" s="1"/>
  <c r="F60" i="2" a="1"/>
  <c r="F60" i="2" s="1"/>
  <c r="F57" i="2" a="1"/>
  <c r="F57" i="2" s="1"/>
  <c r="H57" i="2" a="1"/>
  <c r="H57" i="2" s="1"/>
  <c r="F56" i="2" a="1"/>
  <c r="F56" i="2" s="1"/>
  <c r="H56" i="2" a="1"/>
  <c r="H56" i="2" s="1"/>
  <c r="F55" i="2" a="1"/>
  <c r="F55" i="2" s="1"/>
  <c r="H53" i="2" a="1"/>
  <c r="H53" i="2" s="1"/>
  <c r="F53" i="2" a="1"/>
  <c r="F53" i="2" s="1"/>
  <c r="H52" i="2" a="1"/>
  <c r="H52" i="2" s="1"/>
  <c r="F52" i="2" a="1"/>
  <c r="F52" i="2" s="1"/>
  <c r="F49" i="2" a="1"/>
  <c r="F49" i="2" s="1"/>
  <c r="H49" i="2" a="1"/>
  <c r="H49" i="2" s="1"/>
  <c r="H48" i="2" a="1"/>
  <c r="H48" i="2" s="1"/>
  <c r="F48" i="2" a="1"/>
  <c r="F48" i="2" s="1"/>
  <c r="H45" i="2" a="1"/>
  <c r="H45" i="2" s="1"/>
  <c r="F45" i="2" a="1"/>
  <c r="F45" i="2" s="1"/>
  <c r="F44" i="2" a="1"/>
  <c r="F44" i="2" s="1"/>
  <c r="H44" i="2" a="1"/>
  <c r="H44" i="2" s="1"/>
  <c r="F41" i="2" a="1"/>
  <c r="F41" i="2" s="1"/>
  <c r="H41" i="2" a="1"/>
  <c r="H41" i="2" s="1"/>
  <c r="H40" i="2" a="1"/>
  <c r="H40" i="2" s="1"/>
  <c r="F40" i="2" a="1"/>
  <c r="F40" i="2" s="1"/>
  <c r="H37" i="2" a="1"/>
  <c r="H37" i="2" s="1"/>
  <c r="F37" i="2" a="1"/>
  <c r="F37" i="2" s="1"/>
  <c r="H36" i="2" a="1"/>
  <c r="H36" i="2" s="1"/>
  <c r="F36" i="2" a="1"/>
  <c r="F36" i="2" s="1"/>
  <c r="F35" i="2" a="1"/>
  <c r="F35" i="2" s="1"/>
  <c r="F33" i="2" a="1"/>
  <c r="F33" i="2" s="1"/>
  <c r="H33" i="2" a="1"/>
  <c r="H33" i="2" s="1"/>
  <c r="F32" i="2" a="1"/>
  <c r="F32" i="2" s="1"/>
  <c r="H32" i="2" a="1"/>
  <c r="H32" i="2" s="1"/>
  <c r="F29" i="2" a="1"/>
  <c r="F29" i="2" s="1"/>
  <c r="H29" i="2" a="1"/>
  <c r="H29" i="2" s="1"/>
  <c r="F28" i="2" a="1"/>
  <c r="F28" i="2" s="1"/>
  <c r="H28" i="2" a="1"/>
  <c r="H28" i="2" s="1"/>
  <c r="H25" i="2" a="1"/>
  <c r="H25" i="2" s="1"/>
  <c r="F25" i="2" a="1"/>
  <c r="F25" i="2" s="1"/>
  <c r="H24" i="2" a="1"/>
  <c r="H24" i="2" s="1"/>
  <c r="F24" i="2" a="1"/>
  <c r="F24" i="2" s="1"/>
  <c r="H15" i="2" a="1"/>
  <c r="H15" i="2" s="1"/>
  <c r="AV3" i="2"/>
  <c r="K5" i="3"/>
  <c r="H5" i="2" a="1"/>
  <c r="AX3" i="2" a="1"/>
  <c r="F9" i="2" a="1"/>
  <c r="F8" i="2" a="1"/>
  <c r="F7" i="2" a="1"/>
  <c r="H6" i="2" a="1"/>
  <c r="AQ3" i="2" a="1"/>
  <c r="AO3" i="2" a="1"/>
  <c r="F4" i="2" a="1"/>
  <c r="BT6" i="2" a="1"/>
  <c r="BT5" i="2" a="1"/>
  <c r="BL3" i="2" a="1"/>
  <c r="BJ3" i="2" a="1"/>
  <c r="AJ3" i="2" a="1"/>
  <c r="AH3" i="2" a="1"/>
  <c r="AC3" i="2" a="1"/>
  <c r="AA3" i="2" a="1"/>
  <c r="V4" i="2" a="1"/>
  <c r="V3" i="2" a="1"/>
  <c r="O3" i="2" a="1"/>
  <c r="H3" i="2" a="1"/>
  <c r="F3" i="2" a="1"/>
  <c r="BT4" i="2" a="1"/>
  <c r="BT3" i="2" a="1"/>
  <c r="BT6" i="2" l="1"/>
  <c r="BJ3" i="2"/>
  <c r="BL3" i="2"/>
  <c r="AH3" i="2"/>
  <c r="AJ3" i="2"/>
  <c r="V4" i="2"/>
  <c r="BT5" i="2"/>
  <c r="BT4" i="2"/>
  <c r="BT3" i="2"/>
  <c r="AC3" i="2"/>
  <c r="AA3" i="2"/>
  <c r="V3" i="2"/>
  <c r="O3" i="2"/>
  <c r="AO3" i="2"/>
  <c r="AQ3" i="2"/>
  <c r="F9" i="2"/>
  <c r="F7" i="2"/>
  <c r="H6" i="2"/>
  <c r="AX3" i="2"/>
  <c r="F8" i="2"/>
  <c r="H5" i="2"/>
  <c r="F4" i="2"/>
  <c r="H3" i="2"/>
  <c r="F3" i="2"/>
  <c r="L68" i="11" a="1"/>
  <c r="L51" i="11" a="1"/>
  <c r="L55" i="11" a="1"/>
  <c r="L20" i="11" a="1"/>
  <c r="L41" i="11" a="1"/>
  <c r="L100" i="11" a="1"/>
  <c r="L8" i="11" a="1"/>
  <c r="L86" i="11" a="1"/>
  <c r="L29" i="11" a="1"/>
  <c r="L78" i="11" a="1"/>
  <c r="L103" i="11" a="1"/>
  <c r="L33" i="11" a="1"/>
  <c r="L52" i="11" a="1"/>
  <c r="L91" i="11" a="1"/>
  <c r="L50" i="11" a="1"/>
  <c r="L98" i="11" a="1"/>
  <c r="L84" i="11" a="1"/>
  <c r="L14" i="11" a="1"/>
  <c r="L82" i="11" a="1"/>
  <c r="L97" i="11" a="1"/>
  <c r="L16" i="11" a="1"/>
  <c r="L76" i="11" a="1"/>
  <c r="L31" i="11" a="1"/>
  <c r="L74" i="11" a="1"/>
  <c r="L35" i="11" a="1"/>
  <c r="L81" i="11" a="1"/>
  <c r="L94" i="11" a="1"/>
  <c r="L62" i="11" a="1"/>
  <c r="L92" i="11" a="1"/>
  <c r="L40" i="11" a="1"/>
  <c r="L54" i="11" a="1"/>
  <c r="L75" i="11" a="1"/>
  <c r="L87" i="11" a="1"/>
  <c r="L59" i="11" a="1"/>
  <c r="L38" i="11" a="1"/>
  <c r="L6" i="11" a="1"/>
  <c r="L80" i="11" a="1"/>
  <c r="L9" i="11" a="1"/>
  <c r="L13" i="11" a="1"/>
  <c r="L95" i="11" a="1"/>
  <c r="L39" i="11" a="1"/>
  <c r="L56" i="11" a="1"/>
  <c r="L5" i="11" a="1"/>
  <c r="L60" i="11" a="1"/>
  <c r="L7" i="11" a="1"/>
  <c r="L88" i="11" a="1"/>
  <c r="L77" i="11" a="1"/>
  <c r="L73" i="11" a="1"/>
  <c r="L85" i="11" a="1"/>
  <c r="L49" i="11" a="1"/>
  <c r="L46" i="11" a="1"/>
  <c r="L79" i="11" a="1"/>
  <c r="L28" i="11" a="1"/>
  <c r="L65" i="11" a="1"/>
  <c r="L58" i="11" a="1"/>
  <c r="L45" i="11" a="1"/>
  <c r="L66" i="11" a="1"/>
  <c r="L44" i="11" a="1"/>
  <c r="L23" i="11" a="1"/>
  <c r="L101" i="11" a="1"/>
  <c r="L99" i="11" a="1"/>
  <c r="L15" i="11" a="1"/>
  <c r="L90" i="11" a="1"/>
  <c r="L42" i="11" a="1"/>
  <c r="L102" i="11" a="1"/>
  <c r="L36" i="11" a="1"/>
  <c r="L70" i="11" a="1"/>
  <c r="L67" i="11" a="1"/>
  <c r="L30" i="11" a="1"/>
  <c r="L11" i="11" a="1"/>
  <c r="L96" i="11" a="1"/>
  <c r="L32" i="11" a="1"/>
  <c r="L47" i="11" a="1"/>
  <c r="L17" i="11" a="1"/>
  <c r="L53" i="11" a="1"/>
  <c r="L10" i="11" a="1"/>
  <c r="L37" i="11" a="1"/>
  <c r="L64" i="11" a="1"/>
  <c r="L93" i="11" a="1"/>
  <c r="L63" i="11" a="1"/>
  <c r="L89" i="11" a="1"/>
  <c r="L21" i="11" a="1"/>
  <c r="L43" i="11" a="1"/>
  <c r="L71" i="11" a="1"/>
  <c r="L25" i="11" a="1"/>
  <c r="L12" i="11" a="1"/>
  <c r="L19" i="11" a="1"/>
  <c r="L69" i="11" a="1"/>
  <c r="L22" i="11" a="1"/>
  <c r="L34" i="11" a="1"/>
  <c r="L48" i="11" a="1"/>
  <c r="L24" i="11" a="1"/>
  <c r="L57" i="11" a="1"/>
  <c r="L83" i="11" a="1"/>
  <c r="L26" i="11" a="1"/>
  <c r="L61" i="11" a="1"/>
  <c r="L18" i="11" a="1"/>
  <c r="L72" i="11" a="1"/>
  <c r="L27" i="11" a="1"/>
  <c r="L12" i="9" a="1"/>
  <c r="L14" i="9" a="1"/>
  <c r="L70" i="9" a="1"/>
  <c r="L78" i="9" a="1"/>
  <c r="L101" i="9" a="1"/>
  <c r="L34" i="9" a="1"/>
  <c r="L51" i="9" a="1"/>
  <c r="L62" i="9" a="1"/>
  <c r="L73" i="9" a="1"/>
  <c r="L26" i="9" a="1"/>
  <c r="L48" i="9" a="1"/>
  <c r="L21" i="9" a="1"/>
  <c r="L41" i="9" a="1"/>
  <c r="L5" i="9" a="1"/>
  <c r="L79" i="9" a="1"/>
  <c r="L30" i="9" a="1"/>
  <c r="L91" i="9" a="1"/>
  <c r="L95" i="9" a="1"/>
  <c r="L57" i="9" a="1"/>
  <c r="L8" i="9" a="1"/>
  <c r="L94" i="9" a="1"/>
  <c r="L77" i="9" a="1"/>
  <c r="L82" i="9" a="1"/>
  <c r="L86" i="9" a="1"/>
  <c r="L61" i="9" a="1"/>
  <c r="L100" i="9" a="1"/>
  <c r="L33" i="9" a="1"/>
  <c r="L27" i="9" a="1"/>
  <c r="L18" i="9" a="1"/>
  <c r="L28" i="9" a="1"/>
  <c r="L71" i="9" a="1"/>
  <c r="L11" i="9" a="1"/>
  <c r="L40" i="9" a="1"/>
  <c r="L55" i="9" a="1"/>
  <c r="L88" i="9" a="1"/>
  <c r="L97" i="9" a="1"/>
  <c r="L74" i="9" a="1"/>
  <c r="L44" i="9" a="1"/>
  <c r="L31" i="9" a="1"/>
  <c r="L59" i="9" a="1"/>
  <c r="L46" i="9" a="1"/>
  <c r="L13" i="9" a="1"/>
  <c r="L75" i="9" a="1"/>
  <c r="L49" i="9" a="1"/>
  <c r="L85" i="9" a="1"/>
  <c r="L53" i="9" a="1"/>
  <c r="L67" i="9" a="1"/>
  <c r="L103" i="9" a="1"/>
  <c r="L20" i="9" a="1"/>
  <c r="L45" i="9" a="1"/>
  <c r="L68" i="9" a="1"/>
  <c r="L25" i="9" a="1"/>
  <c r="L90" i="9" a="1"/>
  <c r="L47" i="9" a="1"/>
  <c r="L93" i="9" a="1"/>
  <c r="L80" i="9" a="1"/>
  <c r="L6" i="9" a="1"/>
  <c r="L17" i="9" a="1"/>
  <c r="L96" i="9" a="1"/>
  <c r="L50" i="9" a="1"/>
  <c r="L58" i="9" a="1"/>
  <c r="L39" i="9" a="1"/>
  <c r="L63" i="9" a="1"/>
  <c r="L89" i="9" a="1"/>
  <c r="L54" i="9" a="1"/>
  <c r="L19" i="9" a="1"/>
  <c r="L52" i="9" a="1"/>
  <c r="L98" i="9" a="1"/>
  <c r="L43" i="9" a="1"/>
  <c r="L102" i="9" a="1"/>
  <c r="L87" i="9" a="1"/>
  <c r="L66" i="9" a="1"/>
  <c r="L72" i="9" a="1"/>
  <c r="L36" i="9" a="1"/>
  <c r="L42" i="9" a="1"/>
  <c r="L22" i="9" a="1"/>
  <c r="L10" i="9" a="1"/>
  <c r="L64" i="9" a="1"/>
  <c r="L83" i="9" a="1"/>
  <c r="L29" i="9" a="1"/>
  <c r="L9" i="9" a="1"/>
  <c r="L37" i="9" a="1"/>
  <c r="L32" i="9" a="1"/>
  <c r="L65" i="9" a="1"/>
  <c r="L92" i="9" a="1"/>
  <c r="L7" i="9" a="1"/>
  <c r="L35" i="9" a="1"/>
  <c r="L60" i="9" a="1"/>
  <c r="L15" i="9" a="1"/>
  <c r="L56" i="9" a="1"/>
  <c r="L69" i="9" a="1"/>
  <c r="L16" i="9" a="1"/>
  <c r="L23" i="9" a="1"/>
  <c r="L38" i="9" a="1"/>
  <c r="L81" i="9" a="1"/>
  <c r="L99" i="9" a="1"/>
  <c r="L76" i="9" a="1"/>
  <c r="L24" i="9" a="1"/>
  <c r="L84" i="9" a="1"/>
  <c r="L81" i="10" a="1"/>
  <c r="L15" i="10" a="1"/>
  <c r="L53" i="10" a="1"/>
  <c r="L46" i="10" a="1"/>
  <c r="L50" i="10" a="1"/>
  <c r="L92" i="10" a="1"/>
  <c r="L84" i="10" a="1"/>
  <c r="L102" i="10" a="1"/>
  <c r="L99" i="10" a="1"/>
  <c r="L13" i="10" a="1"/>
  <c r="L38" i="10" a="1"/>
  <c r="L56" i="10" a="1"/>
  <c r="L35" i="10" a="1"/>
  <c r="L44" i="10" a="1"/>
  <c r="L68" i="10" a="1"/>
  <c r="L33" i="10" a="1"/>
  <c r="L93" i="10" a="1"/>
  <c r="L41" i="10" a="1"/>
  <c r="L85" i="10" a="1"/>
  <c r="L24" i="10" a="1"/>
  <c r="L57" i="10" a="1"/>
  <c r="L63" i="10" a="1"/>
  <c r="L60" i="10" a="1"/>
  <c r="L29" i="10" a="1"/>
  <c r="L19" i="10" a="1"/>
  <c r="L34" i="10" a="1"/>
  <c r="L39" i="10" a="1"/>
  <c r="L70" i="10" a="1"/>
  <c r="L7" i="10" a="1"/>
  <c r="L16" i="10" a="1"/>
  <c r="L66" i="10" a="1"/>
  <c r="L75" i="10" a="1"/>
  <c r="L20" i="10" a="1"/>
  <c r="L82" i="10" a="1"/>
  <c r="L58" i="10" a="1"/>
  <c r="L52" i="10" a="1"/>
  <c r="L97" i="10" a="1"/>
  <c r="L28" i="10" a="1"/>
  <c r="L62" i="10" a="1"/>
  <c r="L26" i="10" a="1"/>
  <c r="L77" i="10" a="1"/>
  <c r="L73" i="10" a="1"/>
  <c r="L8" i="10" a="1"/>
  <c r="L80" i="10" a="1"/>
  <c r="L54" i="10" a="1"/>
  <c r="L96" i="10" a="1"/>
  <c r="L43" i="10" a="1"/>
  <c r="L89" i="10" a="1"/>
  <c r="L100" i="10" a="1"/>
  <c r="L31" i="10" a="1"/>
  <c r="L6" i="10" a="1"/>
  <c r="L65" i="10" a="1"/>
  <c r="L88" i="10" a="1"/>
  <c r="L91" i="10" a="1"/>
  <c r="L10" i="10" a="1"/>
  <c r="L87" i="10" a="1"/>
  <c r="L61" i="10" a="1"/>
  <c r="L86" i="10" a="1"/>
  <c r="L37" i="10" a="1"/>
  <c r="L101" i="10" a="1"/>
  <c r="L76" i="10" a="1"/>
  <c r="L72" i="10" a="1"/>
  <c r="L59" i="10" a="1"/>
  <c r="L45" i="10" a="1"/>
  <c r="L36" i="10" a="1"/>
  <c r="L67" i="10" a="1"/>
  <c r="L51" i="10" a="1"/>
  <c r="L22" i="10" a="1"/>
  <c r="L98" i="10" a="1"/>
  <c r="L5" i="10" a="1"/>
  <c r="L27" i="10" a="1"/>
  <c r="L55" i="10" a="1"/>
  <c r="L18" i="10" a="1"/>
  <c r="L49" i="10" a="1"/>
  <c r="L40" i="10" a="1"/>
  <c r="L9" i="10" a="1"/>
  <c r="L17" i="10" a="1"/>
  <c r="L78" i="10" a="1"/>
  <c r="L90" i="10" a="1"/>
  <c r="L23" i="10" a="1"/>
  <c r="L11" i="10" a="1"/>
  <c r="L95" i="10" a="1"/>
  <c r="L79" i="10" a="1"/>
  <c r="L94" i="10" a="1"/>
  <c r="L12" i="10" a="1"/>
  <c r="L48" i="10" a="1"/>
  <c r="L32" i="10" a="1"/>
  <c r="L74" i="10" a="1"/>
  <c r="L14" i="10" a="1"/>
  <c r="L30" i="10" a="1"/>
  <c r="L103" i="10" a="1"/>
  <c r="L47" i="10" a="1"/>
  <c r="L69" i="10" a="1"/>
  <c r="L71" i="10" a="1"/>
  <c r="L64" i="10" a="1"/>
  <c r="L42" i="10" a="1"/>
  <c r="L21" i="10" a="1"/>
  <c r="L25" i="10" a="1"/>
  <c r="L83" i="10" a="1"/>
  <c r="L10" i="8" a="1"/>
  <c r="L100" i="8" a="1"/>
  <c r="L94" i="8" a="1"/>
  <c r="L96" i="8" a="1"/>
  <c r="L76" i="8" a="1"/>
  <c r="L24" i="8" a="1"/>
  <c r="L63" i="8" a="1"/>
  <c r="L67" i="8" a="1"/>
  <c r="L99" i="8" a="1"/>
  <c r="L90" i="8" a="1"/>
  <c r="L64" i="8" a="1"/>
  <c r="L13" i="8" a="1"/>
  <c r="L42" i="8" a="1"/>
  <c r="L8" i="8" a="1"/>
  <c r="L58" i="8" a="1"/>
  <c r="L84" i="8" a="1"/>
  <c r="L34" i="8" a="1"/>
  <c r="L79" i="8" a="1"/>
  <c r="L91" i="8" a="1"/>
  <c r="L87" i="8" a="1"/>
  <c r="L56" i="8" a="1"/>
  <c r="L71" i="8" a="1"/>
  <c r="L31" i="8" a="1"/>
  <c r="L41" i="8" a="1"/>
  <c r="L55" i="8" a="1"/>
  <c r="L30" i="8" a="1"/>
  <c r="L61" i="8" a="1"/>
  <c r="L23" i="8" a="1"/>
  <c r="L77" i="8" a="1"/>
  <c r="L48" i="8" a="1"/>
  <c r="L59" i="8" a="1"/>
  <c r="L15" i="8" a="1"/>
  <c r="L39" i="8" a="1"/>
  <c r="L6" i="8" a="1"/>
  <c r="L66" i="8" a="1"/>
  <c r="L45" i="8" a="1"/>
  <c r="L44" i="8" a="1"/>
  <c r="L29" i="8" a="1"/>
  <c r="L26" i="8" a="1"/>
  <c r="L101" i="8" a="1"/>
  <c r="L46" i="8" a="1"/>
  <c r="L81" i="8" a="1"/>
  <c r="L27" i="8" a="1"/>
  <c r="L49" i="8" a="1"/>
  <c r="L33" i="8" a="1"/>
  <c r="L17" i="8" a="1"/>
  <c r="L73" i="8" a="1"/>
  <c r="L22" i="8" a="1"/>
  <c r="L53" i="8" a="1"/>
  <c r="L28" i="8" a="1"/>
  <c r="L74" i="8" a="1"/>
  <c r="L88" i="8" a="1"/>
  <c r="L37" i="8" a="1"/>
  <c r="L18" i="8" a="1"/>
  <c r="L75" i="8" a="1"/>
  <c r="L50" i="8" a="1"/>
  <c r="L54" i="8" a="1"/>
  <c r="L5" i="8" a="1"/>
  <c r="L57" i="8" a="1"/>
  <c r="L70" i="8" a="1"/>
  <c r="L25" i="8" a="1"/>
  <c r="L38" i="8" a="1"/>
  <c r="L35" i="8" a="1"/>
  <c r="L16" i="8" a="1"/>
  <c r="L80" i="8" a="1"/>
  <c r="L36" i="8" a="1"/>
  <c r="L43" i="8" a="1"/>
  <c r="L47" i="8" a="1"/>
  <c r="L72" i="8" a="1"/>
  <c r="L9" i="8" a="1"/>
  <c r="L78" i="8" a="1"/>
  <c r="L65" i="8" a="1"/>
  <c r="L83" i="8" a="1"/>
  <c r="L19" i="8" a="1"/>
  <c r="L102" i="8" a="1"/>
  <c r="L21" i="8" a="1"/>
  <c r="L92" i="8" a="1"/>
  <c r="L97" i="8" a="1"/>
  <c r="L82" i="8" a="1"/>
  <c r="L11" i="8" a="1"/>
  <c r="L98" i="8" a="1"/>
  <c r="L40" i="8" a="1"/>
  <c r="L60" i="8" a="1"/>
  <c r="L12" i="8" a="1"/>
  <c r="L86" i="8" a="1"/>
  <c r="L89" i="8" a="1"/>
  <c r="L95" i="8" a="1"/>
  <c r="L62" i="8" a="1"/>
  <c r="L7" i="8" a="1"/>
  <c r="L69" i="8" a="1"/>
  <c r="L32" i="8" a="1"/>
  <c r="L85" i="8" a="1"/>
  <c r="L103" i="8" a="1"/>
  <c r="L14" i="8" a="1"/>
  <c r="L20" i="8" a="1"/>
  <c r="L93" i="8" a="1"/>
  <c r="L68" i="8" a="1"/>
  <c r="L51" i="8" a="1"/>
  <c r="L52" i="8" a="1"/>
  <c r="L32" i="12" a="1"/>
  <c r="L53" i="12" a="1"/>
  <c r="L63" i="12" a="1"/>
  <c r="L81" i="12" a="1"/>
  <c r="L90" i="12" a="1"/>
  <c r="L22" i="12" a="1"/>
  <c r="L84" i="12" a="1"/>
  <c r="L85" i="12" a="1"/>
  <c r="L35" i="12" a="1"/>
  <c r="L54" i="12" a="1"/>
  <c r="L102" i="12" a="1"/>
  <c r="L100" i="12" a="1"/>
  <c r="L70" i="12" a="1"/>
  <c r="L14" i="12" a="1"/>
  <c r="L13" i="12" a="1"/>
  <c r="L73" i="12" a="1"/>
  <c r="L47" i="12" a="1"/>
  <c r="L44" i="12" a="1"/>
  <c r="L33" i="12" a="1"/>
  <c r="L40" i="12" a="1"/>
  <c r="L95" i="12" a="1"/>
  <c r="L18" i="12" a="1"/>
  <c r="L45" i="12" a="1"/>
  <c r="L98" i="12" a="1"/>
  <c r="L48" i="12" a="1"/>
  <c r="L75" i="12" a="1"/>
  <c r="L86" i="12" a="1"/>
  <c r="L21" i="12" a="1"/>
  <c r="L25" i="12" a="1"/>
  <c r="L89" i="12" a="1"/>
  <c r="L74" i="12" a="1"/>
  <c r="L94" i="12" a="1"/>
  <c r="L30" i="12" a="1"/>
  <c r="L78" i="12" a="1"/>
  <c r="L7" i="12" a="1"/>
  <c r="L23" i="12" a="1"/>
  <c r="L11" i="12" a="1"/>
  <c r="L58" i="12" a="1"/>
  <c r="L60" i="12" a="1"/>
  <c r="L82" i="12" a="1"/>
  <c r="L87" i="12" a="1"/>
  <c r="L92" i="12" a="1"/>
  <c r="L67" i="12" a="1"/>
  <c r="L19" i="12" a="1"/>
  <c r="L91" i="12" a="1"/>
  <c r="L17" i="12" a="1"/>
  <c r="L103" i="12" a="1"/>
  <c r="L62" i="12" a="1"/>
  <c r="L34" i="12" a="1"/>
  <c r="L97" i="12" a="1"/>
  <c r="L38" i="12" a="1"/>
  <c r="L46" i="12" a="1"/>
  <c r="L24" i="12" a="1"/>
  <c r="L31" i="12" a="1"/>
  <c r="L65" i="12" a="1"/>
  <c r="L101" i="12" a="1"/>
  <c r="L71" i="12" a="1"/>
  <c r="L10" i="12" a="1"/>
  <c r="L15" i="12" a="1"/>
  <c r="L20" i="12" a="1"/>
  <c r="L9" i="12" a="1"/>
  <c r="L41" i="12" a="1"/>
  <c r="L52" i="12" a="1"/>
  <c r="L80" i="12" a="1"/>
  <c r="L27" i="12" a="1"/>
  <c r="L42" i="12" a="1"/>
  <c r="L43" i="12" a="1"/>
  <c r="L16" i="12" a="1"/>
  <c r="L72" i="12" a="1"/>
  <c r="L29" i="12" a="1"/>
  <c r="L99" i="12" a="1"/>
  <c r="L76" i="12" a="1"/>
  <c r="L83" i="12" a="1"/>
  <c r="L77" i="12" a="1"/>
  <c r="L6" i="12" a="1"/>
  <c r="L61" i="12" a="1"/>
  <c r="L66" i="12" a="1"/>
  <c r="L69" i="12" a="1"/>
  <c r="L51" i="12" a="1"/>
  <c r="L64" i="12" a="1"/>
  <c r="L57" i="12" a="1"/>
  <c r="L36" i="12" a="1"/>
  <c r="L8" i="12" a="1"/>
  <c r="L39" i="12" a="1"/>
  <c r="L93" i="12" a="1"/>
  <c r="L5" i="12" a="1"/>
  <c r="L79" i="12" a="1"/>
  <c r="L56" i="12" a="1"/>
  <c r="L88" i="12" a="1"/>
  <c r="L50" i="12" a="1"/>
  <c r="L59" i="12" a="1"/>
  <c r="L28" i="12" a="1"/>
  <c r="L37" i="12" a="1"/>
  <c r="L68" i="12" a="1"/>
  <c r="L26" i="12" a="1"/>
  <c r="L12" i="12" a="1"/>
  <c r="L49" i="12" a="1"/>
  <c r="L96" i="12" a="1"/>
  <c r="L55" i="12" a="1"/>
  <c r="L48" i="7" a="1"/>
  <c r="L99" i="7" a="1"/>
  <c r="L54" i="7" a="1"/>
  <c r="L96" i="7" a="1"/>
  <c r="L32" i="7" a="1"/>
  <c r="L91" i="7" a="1"/>
  <c r="L90" i="7" a="1"/>
  <c r="L9" i="7" a="1"/>
  <c r="L53" i="7" a="1"/>
  <c r="L30" i="7" a="1"/>
  <c r="L27" i="7" a="1"/>
  <c r="L26" i="7" a="1"/>
  <c r="L95" i="7" a="1"/>
  <c r="L34" i="7" a="1"/>
  <c r="L93" i="7" a="1"/>
  <c r="L86" i="7" a="1"/>
  <c r="L98" i="7" a="1"/>
  <c r="L16" i="7" a="1"/>
  <c r="L97" i="7" a="1"/>
  <c r="L61" i="7" a="1"/>
  <c r="L80" i="7" a="1"/>
  <c r="L57" i="7" a="1"/>
  <c r="L58" i="7" a="1"/>
  <c r="L21" i="7" a="1"/>
  <c r="L59" i="7" a="1"/>
  <c r="L78" i="7" a="1"/>
  <c r="L15" i="7" a="1"/>
  <c r="L71" i="7" a="1"/>
  <c r="L69" i="7" a="1"/>
  <c r="L92" i="7" a="1"/>
  <c r="L60" i="7" a="1"/>
  <c r="L75" i="7" a="1"/>
  <c r="L24" i="7" a="1"/>
  <c r="L13" i="7" a="1"/>
  <c r="L35" i="7" a="1"/>
  <c r="L87" i="7" a="1"/>
  <c r="L84" i="7" a="1"/>
  <c r="L44" i="7" a="1"/>
  <c r="L11" i="7" a="1"/>
  <c r="L49" i="7" a="1"/>
  <c r="L66" i="7" a="1"/>
  <c r="L36" i="7" a="1"/>
  <c r="L50" i="7" a="1"/>
  <c r="L43" i="7" a="1"/>
  <c r="L88" i="7" a="1"/>
  <c r="L102" i="7" a="1"/>
  <c r="L76" i="7" a="1"/>
  <c r="L38" i="7" a="1"/>
  <c r="L29" i="7" a="1"/>
  <c r="L94" i="7" a="1"/>
  <c r="L103" i="7" a="1"/>
  <c r="L14" i="7" a="1"/>
  <c r="L42" i="7" a="1"/>
  <c r="L40" i="7" a="1"/>
  <c r="L82" i="7" a="1"/>
  <c r="L45" i="7" a="1"/>
  <c r="L79" i="7" a="1"/>
  <c r="L65" i="7" a="1"/>
  <c r="L72" i="7" a="1"/>
  <c r="L62" i="7" a="1"/>
  <c r="L46" i="7" a="1"/>
  <c r="L22" i="7" a="1"/>
  <c r="L20" i="7" a="1"/>
  <c r="L83" i="7" a="1"/>
  <c r="L67" i="7" a="1"/>
  <c r="L18" i="7" a="1"/>
  <c r="L55" i="7" a="1"/>
  <c r="L100" i="7" a="1"/>
  <c r="L17" i="7" a="1"/>
  <c r="L101" i="7" a="1"/>
  <c r="L7" i="7" a="1"/>
  <c r="L33" i="7" a="1"/>
  <c r="L41" i="7" a="1"/>
  <c r="L12" i="7" a="1"/>
  <c r="L56" i="7" a="1"/>
  <c r="L6" i="7" a="1"/>
  <c r="L28" i="7" a="1"/>
  <c r="L39" i="7" a="1"/>
  <c r="L5" i="7" a="1"/>
  <c r="L85" i="7" a="1"/>
  <c r="L64" i="7" a="1"/>
  <c r="L37" i="7" a="1"/>
  <c r="L73" i="7" a="1"/>
  <c r="L68" i="7" a="1"/>
  <c r="L8" i="7" a="1"/>
  <c r="L81" i="7" a="1"/>
  <c r="L51" i="7" a="1"/>
  <c r="L23" i="7" a="1"/>
  <c r="L70" i="7" a="1"/>
  <c r="L89" i="7" a="1"/>
  <c r="L52" i="7" a="1"/>
  <c r="L31" i="7" a="1"/>
  <c r="L10" i="7" a="1"/>
  <c r="L77" i="7" a="1"/>
  <c r="L25" i="7" a="1"/>
  <c r="L47" i="7" a="1"/>
  <c r="L19" i="7" a="1"/>
  <c r="L74" i="7" a="1"/>
  <c r="L63" i="7" a="1"/>
  <c r="L81" i="6" a="1"/>
  <c r="L49" i="6" a="1"/>
  <c r="L19" i="6" a="1"/>
  <c r="L18" i="6" a="1"/>
  <c r="L57" i="6" a="1"/>
  <c r="L67" i="6" a="1"/>
  <c r="L71" i="6" a="1"/>
  <c r="L85" i="6" a="1"/>
  <c r="L77" i="6" a="1"/>
  <c r="L26" i="6" a="1"/>
  <c r="L74" i="6" a="1"/>
  <c r="L44" i="6" a="1"/>
  <c r="L53" i="6" a="1"/>
  <c r="L34" i="6" a="1"/>
  <c r="L79" i="6" a="1"/>
  <c r="L82" i="6" a="1"/>
  <c r="L101" i="6" a="1"/>
  <c r="L30" i="6" a="1"/>
  <c r="L86" i="6" a="1"/>
  <c r="L98" i="6" a="1"/>
  <c r="L5" i="6" a="1"/>
  <c r="L39" i="6" a="1"/>
  <c r="L28" i="6" a="1"/>
  <c r="L54" i="6" a="1"/>
  <c r="L103" i="6" a="1"/>
  <c r="L94" i="6" a="1"/>
  <c r="L42" i="6" a="1"/>
  <c r="L83" i="6" a="1"/>
  <c r="L17" i="6" a="1"/>
  <c r="L56" i="6" a="1"/>
  <c r="L76" i="6" a="1"/>
  <c r="L20" i="6" a="1"/>
  <c r="L92" i="6" a="1"/>
  <c r="L37" i="6" a="1"/>
  <c r="L63" i="6" a="1"/>
  <c r="L66" i="6" a="1"/>
  <c r="L15" i="6" a="1"/>
  <c r="L60" i="6" a="1"/>
  <c r="L9" i="6" a="1"/>
  <c r="L75" i="6" a="1"/>
  <c r="L6" i="6" a="1"/>
  <c r="L47" i="6" a="1"/>
  <c r="L68" i="6" a="1"/>
  <c r="L36" i="6" a="1"/>
  <c r="L89" i="6" a="1"/>
  <c r="L25" i="6" a="1"/>
  <c r="L59" i="6" a="1"/>
  <c r="L46" i="6" a="1"/>
  <c r="L32" i="6" a="1"/>
  <c r="L43" i="6" a="1"/>
  <c r="L69" i="6" a="1"/>
  <c r="L70" i="6" a="1"/>
  <c r="L99" i="6" a="1"/>
  <c r="L29" i="6" a="1"/>
  <c r="L45" i="6" a="1"/>
  <c r="L48" i="6" a="1"/>
  <c r="L8" i="6" a="1"/>
  <c r="L7" i="6" a="1"/>
  <c r="L21" i="6" a="1"/>
  <c r="L52" i="6" a="1"/>
  <c r="L35" i="6" a="1"/>
  <c r="L16" i="6" a="1"/>
  <c r="L38" i="6" a="1"/>
  <c r="L40" i="6" a="1"/>
  <c r="L96" i="6" a="1"/>
  <c r="L72" i="6" a="1"/>
  <c r="L65" i="6" a="1"/>
  <c r="L93" i="6" a="1"/>
  <c r="L33" i="6" a="1"/>
  <c r="L31" i="6" a="1"/>
  <c r="L91" i="6" a="1"/>
  <c r="L102" i="6" a="1"/>
  <c r="L41" i="6" a="1"/>
  <c r="L78" i="6" a="1"/>
  <c r="L84" i="6" a="1"/>
  <c r="L61" i="6" a="1"/>
  <c r="L13" i="6" a="1"/>
  <c r="L12" i="6" a="1"/>
  <c r="L10" i="6" a="1"/>
  <c r="L23" i="6" a="1"/>
  <c r="L50" i="6" a="1"/>
  <c r="L80" i="6" a="1"/>
  <c r="L55" i="6" a="1"/>
  <c r="L97" i="6" a="1"/>
  <c r="L14" i="6" a="1"/>
  <c r="L90" i="6" a="1"/>
  <c r="L58" i="6" a="1"/>
  <c r="L24" i="6" a="1"/>
  <c r="L27" i="6" a="1"/>
  <c r="L100" i="6" a="1"/>
  <c r="L73" i="6" a="1"/>
  <c r="L11" i="6" a="1"/>
  <c r="L95" i="6" a="1"/>
  <c r="L88" i="6" a="1"/>
  <c r="L62" i="6" a="1"/>
  <c r="L51" i="6" a="1"/>
  <c r="L22" i="6" a="1"/>
  <c r="L87" i="6" a="1"/>
  <c r="L64" i="6" a="1"/>
  <c r="L96" i="5" a="1"/>
  <c r="L73" i="5" a="1"/>
  <c r="L78" i="5" a="1"/>
  <c r="L68" i="5" a="1"/>
  <c r="L54" i="5" a="1"/>
  <c r="L55" i="5" a="1"/>
  <c r="L103" i="5" a="1"/>
  <c r="L83" i="5" a="1"/>
  <c r="L15" i="5" a="1"/>
  <c r="L23" i="5" a="1"/>
  <c r="L37" i="5" a="1"/>
  <c r="L43" i="5" a="1"/>
  <c r="L40" i="5" a="1"/>
  <c r="L95" i="5" a="1"/>
  <c r="L51" i="5" a="1"/>
  <c r="L87" i="5" a="1"/>
  <c r="L93" i="5" a="1"/>
  <c r="L9" i="5" a="1"/>
  <c r="L53" i="5" a="1"/>
  <c r="L6" i="5" a="1"/>
  <c r="L33" i="5" a="1"/>
  <c r="L81" i="5" a="1"/>
  <c r="L30" i="5" a="1"/>
  <c r="L94" i="5" a="1"/>
  <c r="L59" i="5" a="1"/>
  <c r="L12" i="5" a="1"/>
  <c r="L18" i="5" a="1"/>
  <c r="L13" i="5" a="1"/>
  <c r="L88" i="5" a="1"/>
  <c r="L25" i="5" a="1"/>
  <c r="L44" i="5" a="1"/>
  <c r="L45" i="5" a="1"/>
  <c r="L46" i="5" a="1"/>
  <c r="L11" i="5" a="1"/>
  <c r="L7" i="5" a="1"/>
  <c r="L8" i="5" a="1"/>
  <c r="L41" i="5" a="1"/>
  <c r="L56" i="5" a="1"/>
  <c r="L57" i="5" a="1"/>
  <c r="L99" i="5" a="1"/>
  <c r="L52" i="5" a="1"/>
  <c r="L24" i="5" a="1"/>
  <c r="L90" i="5" a="1"/>
  <c r="L101" i="5" a="1"/>
  <c r="L10" i="5" a="1"/>
  <c r="L80" i="5" a="1"/>
  <c r="L76" i="5" a="1"/>
  <c r="L79" i="5" a="1"/>
  <c r="L60" i="5" a="1"/>
  <c r="L48" i="5" a="1"/>
  <c r="L61" i="5" a="1"/>
  <c r="L89" i="5" a="1"/>
  <c r="L77" i="5" a="1"/>
  <c r="L75" i="5" a="1"/>
  <c r="L98" i="5" a="1"/>
  <c r="L20" i="5" a="1"/>
  <c r="L86" i="5" a="1"/>
  <c r="L35" i="5" a="1"/>
  <c r="L102" i="5" a="1"/>
  <c r="L17" i="5" a="1"/>
  <c r="L91" i="5" a="1"/>
  <c r="L85" i="5" a="1"/>
  <c r="L34" i="5" a="1"/>
  <c r="L63" i="5" a="1"/>
  <c r="L97" i="5" a="1"/>
  <c r="L67" i="5" a="1"/>
  <c r="L72" i="5" a="1"/>
  <c r="L26" i="5" a="1"/>
  <c r="L36" i="5" a="1"/>
  <c r="L66" i="5" a="1"/>
  <c r="L74" i="5" a="1"/>
  <c r="L19" i="5" a="1"/>
  <c r="L42" i="5" a="1"/>
  <c r="L31" i="5" a="1"/>
  <c r="L50" i="5" a="1"/>
  <c r="L47" i="5" a="1"/>
  <c r="L70" i="5" a="1"/>
  <c r="L22" i="5" a="1"/>
  <c r="L38" i="5" a="1"/>
  <c r="L100" i="5" a="1"/>
  <c r="L65" i="5" a="1"/>
  <c r="L82" i="5" a="1"/>
  <c r="L92" i="5" a="1"/>
  <c r="L58" i="5" a="1"/>
  <c r="L39" i="5" a="1"/>
  <c r="L5" i="5" a="1"/>
  <c r="L14" i="5" a="1"/>
  <c r="L49" i="5" a="1"/>
  <c r="L29" i="5" a="1"/>
  <c r="L21" i="5" a="1"/>
  <c r="L64" i="5" a="1"/>
  <c r="L69" i="5" a="1"/>
  <c r="L27" i="5" a="1"/>
  <c r="L62" i="5" a="1"/>
  <c r="L16" i="5" a="1"/>
  <c r="L32" i="5" a="1"/>
  <c r="L84" i="5" a="1"/>
  <c r="L71" i="5" a="1"/>
  <c r="L28" i="5" a="1"/>
  <c r="L100" i="3" a="1"/>
  <c r="L85" i="3" a="1"/>
  <c r="L32" i="3" a="1"/>
  <c r="L52" i="3" a="1"/>
  <c r="L89" i="3" a="1"/>
  <c r="L39" i="3" a="1"/>
  <c r="L94" i="3" a="1"/>
  <c r="L75" i="3" a="1"/>
  <c r="L83" i="3" a="1"/>
  <c r="L8" i="3" a="1"/>
  <c r="L23" i="3" a="1"/>
  <c r="L71" i="3" a="1"/>
  <c r="L18" i="3" a="1"/>
  <c r="L92" i="3" a="1"/>
  <c r="L14" i="3" a="1"/>
  <c r="L48" i="3" a="1"/>
  <c r="L11" i="3" a="1"/>
  <c r="L61" i="3" a="1"/>
  <c r="L24" i="3" a="1"/>
  <c r="L63" i="3" a="1"/>
  <c r="L54" i="3" a="1"/>
  <c r="L55" i="3" a="1"/>
  <c r="L7" i="3" a="1"/>
  <c r="L21" i="3" a="1"/>
  <c r="L36" i="3" a="1"/>
  <c r="L34" i="3" a="1"/>
  <c r="L45" i="3" a="1"/>
  <c r="L42" i="3" a="1"/>
  <c r="L51" i="3" a="1"/>
  <c r="L80" i="3" a="1"/>
  <c r="L99" i="3" a="1"/>
  <c r="L79" i="3" a="1"/>
  <c r="L91" i="3" a="1"/>
  <c r="L64" i="3" a="1"/>
  <c r="L86" i="3" a="1"/>
  <c r="L28" i="3" a="1"/>
  <c r="L6" i="3" a="1"/>
  <c r="L29" i="3" a="1"/>
  <c r="L88" i="3" a="1"/>
  <c r="L57" i="3" a="1"/>
  <c r="L13" i="3" a="1"/>
  <c r="L101" i="3" a="1"/>
  <c r="L98" i="3" a="1"/>
  <c r="L81" i="3" a="1"/>
  <c r="L22" i="3" a="1"/>
  <c r="L30" i="3" a="1"/>
  <c r="L26" i="3" a="1"/>
  <c r="L37" i="3" a="1"/>
  <c r="L77" i="3" a="1"/>
  <c r="L72" i="3" a="1"/>
  <c r="L66" i="3" a="1"/>
  <c r="L47" i="3" a="1"/>
  <c r="L49" i="3" a="1"/>
  <c r="L33" i="3" a="1"/>
  <c r="L74" i="3" a="1"/>
  <c r="L96" i="3" a="1"/>
  <c r="L15" i="3" a="1"/>
  <c r="L59" i="3" a="1"/>
  <c r="L56" i="3" a="1"/>
  <c r="L31" i="3" a="1"/>
  <c r="L50" i="3" a="1"/>
  <c r="L95" i="3" a="1"/>
  <c r="L20" i="3" a="1"/>
  <c r="L10" i="3" a="1"/>
  <c r="L40" i="3" a="1"/>
  <c r="L97" i="3" a="1"/>
  <c r="L69" i="3" a="1"/>
  <c r="L65" i="3" a="1"/>
  <c r="L27" i="3" a="1"/>
  <c r="L35" i="3" a="1"/>
  <c r="L76" i="3" a="1"/>
  <c r="L90" i="3" a="1"/>
  <c r="L103" i="3" a="1"/>
  <c r="L102" i="3" a="1"/>
  <c r="L68" i="3" a="1"/>
  <c r="L38" i="3" a="1"/>
  <c r="L78" i="3" a="1"/>
  <c r="L67" i="3" a="1"/>
  <c r="L93" i="3" a="1"/>
  <c r="L53" i="3" a="1"/>
  <c r="L19" i="3" a="1"/>
  <c r="L58" i="3" a="1"/>
  <c r="L41" i="3" a="1"/>
  <c r="L87" i="3" a="1"/>
  <c r="L44" i="3" a="1"/>
  <c r="L5" i="3" a="1"/>
  <c r="L84" i="3" a="1"/>
  <c r="L70" i="3" a="1"/>
  <c r="L60" i="3" a="1"/>
  <c r="L16" i="3" a="1"/>
  <c r="L12" i="3" a="1"/>
  <c r="L82" i="3" a="1"/>
  <c r="L25" i="3" a="1"/>
  <c r="L46" i="3" a="1"/>
  <c r="L17" i="3" a="1"/>
  <c r="L43" i="3" a="1"/>
  <c r="L9" i="3" a="1"/>
  <c r="L73" i="3" a="1"/>
  <c r="L62" i="3" a="1"/>
  <c r="BP40" i="2" a="1"/>
  <c r="BP28" i="2" a="1"/>
  <c r="BP93" i="2" a="1"/>
  <c r="BP66" i="2" a="1"/>
  <c r="BP6" i="2" a="1"/>
  <c r="BP47" i="2" a="1"/>
  <c r="BP4" i="2" a="1"/>
  <c r="BP84" i="2" a="1"/>
  <c r="BP46" i="2" a="1"/>
  <c r="BP74" i="2" a="1"/>
  <c r="BP51" i="2" a="1"/>
  <c r="BP36" i="2" a="1"/>
  <c r="BP92" i="2" a="1"/>
  <c r="BP22" i="2" a="1"/>
  <c r="BP75" i="2" a="1"/>
  <c r="BP48" i="2" a="1"/>
  <c r="BP49" i="2" a="1"/>
  <c r="BP90" i="2" a="1"/>
  <c r="BP3" i="2" a="1"/>
  <c r="BP19" i="2" a="1"/>
  <c r="BP14" i="2" a="1"/>
  <c r="BP61" i="2" a="1"/>
  <c r="BP59" i="2" a="1"/>
  <c r="BP43" i="2" a="1"/>
  <c r="BP69" i="2" a="1"/>
  <c r="BP37" i="2" a="1"/>
  <c r="BP24" i="2" a="1"/>
  <c r="BP94" i="2" a="1"/>
  <c r="BP8" i="2" a="1"/>
  <c r="BP25" i="2" a="1"/>
  <c r="BP88" i="2" a="1"/>
  <c r="BP30" i="2" a="1"/>
  <c r="BP35" i="2" a="1"/>
  <c r="BP57" i="2" a="1"/>
  <c r="BP78" i="2" a="1"/>
  <c r="BP33" i="2" a="1"/>
  <c r="BP72" i="2" a="1"/>
  <c r="BP31" i="2" a="1"/>
  <c r="BP87" i="2" a="1"/>
  <c r="BP96" i="2" a="1"/>
  <c r="BP60" i="2" a="1"/>
  <c r="BP91" i="2" a="1"/>
  <c r="BP21" i="2" a="1"/>
  <c r="BP15" i="2" a="1"/>
  <c r="BP18" i="2" a="1"/>
  <c r="BP73" i="2" a="1"/>
  <c r="BP44" i="2" a="1"/>
  <c r="BP16" i="2" a="1"/>
  <c r="BP45" i="2" a="1"/>
  <c r="BP70" i="2" a="1"/>
  <c r="BP34" i="2" a="1"/>
  <c r="BP41" i="2" a="1"/>
  <c r="BP54" i="2" a="1"/>
  <c r="BP77" i="2" a="1"/>
  <c r="BP86" i="2" a="1"/>
  <c r="BP95" i="2" a="1"/>
  <c r="BP13" i="2" a="1"/>
  <c r="BP97" i="2" a="1"/>
  <c r="BP83" i="2" a="1"/>
  <c r="BP7" i="2" a="1"/>
  <c r="BP32" i="2" a="1"/>
  <c r="BP38" i="2" a="1"/>
  <c r="BP29" i="2" a="1"/>
  <c r="BP100" i="2" a="1"/>
  <c r="BP42" i="2" a="1"/>
  <c r="BP50" i="2" a="1"/>
  <c r="BP26" i="2" a="1"/>
  <c r="BP39" i="2" a="1"/>
  <c r="BP17" i="2" a="1"/>
  <c r="BP64" i="2" a="1"/>
  <c r="BP67" i="2" a="1"/>
  <c r="BP89" i="2" a="1"/>
  <c r="BP71" i="2" a="1"/>
  <c r="BP23" i="2" a="1"/>
  <c r="BP79" i="2" a="1"/>
  <c r="BP27" i="2" a="1"/>
  <c r="BP82" i="2" a="1"/>
  <c r="BP20" i="2" a="1"/>
  <c r="BP81" i="2" a="1"/>
  <c r="BP85" i="2" a="1"/>
  <c r="BP62" i="2" a="1"/>
  <c r="BP80" i="2" a="1"/>
  <c r="BP76" i="2" a="1"/>
  <c r="BP65" i="2" a="1"/>
  <c r="BP56" i="2" a="1"/>
  <c r="BP58" i="2" a="1"/>
  <c r="BP63" i="2" a="1"/>
  <c r="BP55" i="2" a="1"/>
  <c r="BP11" i="2" a="1"/>
  <c r="BP10" i="2" a="1"/>
  <c r="BP68" i="2" a="1"/>
  <c r="BP53" i="2" a="1"/>
  <c r="BP12" i="2" a="1"/>
  <c r="BP52" i="2" a="1"/>
  <c r="BP9" i="2" a="1"/>
  <c r="BP5" i="2" a="1"/>
  <c r="BP101" i="2" a="1"/>
  <c r="BP98" i="2" a="1"/>
  <c r="BP99" i="2" a="1"/>
  <c r="BP62" i="2" l="1"/>
  <c r="BP65" i="2"/>
  <c r="BP20" i="2"/>
  <c r="L14" i="3"/>
  <c r="G12" i="2" s="1"/>
  <c r="BP29" i="2"/>
  <c r="L77" i="3"/>
  <c r="G75" i="2" s="1"/>
  <c r="L90" i="5"/>
  <c r="N88" i="2" s="1"/>
  <c r="L12" i="7"/>
  <c r="AB10" i="2" s="1"/>
  <c r="BP3" i="2"/>
  <c r="BP69" i="2"/>
  <c r="BP12" i="2"/>
  <c r="BP86" i="2"/>
  <c r="BP30" i="2"/>
  <c r="BP84" i="2"/>
  <c r="BP44" i="2"/>
  <c r="BP59" i="2"/>
  <c r="BP52" i="2"/>
  <c r="BP79" i="2"/>
  <c r="BP13" i="2"/>
  <c r="BP68" i="2"/>
  <c r="BP5" i="2"/>
  <c r="BP83" i="2"/>
  <c r="BP80" i="2"/>
  <c r="BP56" i="2"/>
  <c r="BP88" i="2"/>
  <c r="BP77" i="2"/>
  <c r="BP15" i="2"/>
  <c r="BP47" i="2"/>
  <c r="BP97" i="2"/>
  <c r="BP91" i="2"/>
  <c r="BP50" i="2"/>
  <c r="L28" i="3"/>
  <c r="G26" i="2" s="1"/>
  <c r="L79" i="3"/>
  <c r="G77" i="2" s="1"/>
  <c r="L92" i="3"/>
  <c r="G90" i="2" s="1"/>
  <c r="L89" i="5"/>
  <c r="N87" i="2" s="1"/>
  <c r="L35" i="5"/>
  <c r="N33" i="2" s="1"/>
  <c r="L93" i="5"/>
  <c r="N91" i="2" s="1"/>
  <c r="L94" i="8"/>
  <c r="AW92" i="2" s="1"/>
  <c r="L99" i="10"/>
  <c r="BD97" i="2" s="1"/>
  <c r="L31" i="7"/>
  <c r="AB29" i="2" s="1"/>
  <c r="L23" i="6"/>
  <c r="U21" i="2" s="1"/>
  <c r="BP34" i="2"/>
  <c r="BP100" i="2"/>
  <c r="BP36" i="2"/>
  <c r="BP16" i="2"/>
  <c r="BP42" i="2"/>
  <c r="BP18" i="2"/>
  <c r="BP90" i="2"/>
  <c r="BP98" i="2"/>
  <c r="BP76" i="2"/>
  <c r="BP40" i="2"/>
  <c r="BP89" i="2"/>
  <c r="BP85" i="2"/>
  <c r="BP37" i="2"/>
  <c r="BP49" i="2"/>
  <c r="BP75" i="2"/>
  <c r="BP101" i="2"/>
  <c r="BP43" i="2"/>
  <c r="BP27" i="2"/>
  <c r="BP87" i="2"/>
  <c r="L47" i="3"/>
  <c r="G45" i="2" s="1"/>
  <c r="L93" i="3"/>
  <c r="G91" i="2" s="1"/>
  <c r="L30" i="3"/>
  <c r="G28" i="2" s="1"/>
  <c r="L16" i="3"/>
  <c r="G14" i="2" s="1"/>
  <c r="L57" i="5"/>
  <c r="N55" i="2" s="1"/>
  <c r="L39" i="5"/>
  <c r="N37" i="2" s="1"/>
  <c r="L82" i="5"/>
  <c r="N80" i="2" s="1"/>
  <c r="L41" i="12"/>
  <c r="BK39" i="2" s="1"/>
  <c r="L15" i="12"/>
  <c r="BK13" i="2" s="1"/>
  <c r="L40" i="9"/>
  <c r="AP38" i="2" s="1"/>
  <c r="L45" i="3"/>
  <c r="G43" i="2" s="1"/>
  <c r="BP11" i="2"/>
  <c r="BP70" i="2"/>
  <c r="BP63" i="2"/>
  <c r="L62" i="5"/>
  <c r="N60" i="2" s="1"/>
  <c r="L10" i="6"/>
  <c r="U8" i="2" s="1"/>
  <c r="L66" i="6"/>
  <c r="U64" i="2" s="1"/>
  <c r="L99" i="8"/>
  <c r="AW97" i="2" s="1"/>
  <c r="BP28" i="2"/>
  <c r="BP99" i="2"/>
  <c r="BP92" i="2"/>
  <c r="BP51" i="2"/>
  <c r="BP81" i="2"/>
  <c r="L97" i="3"/>
  <c r="G95" i="2" s="1"/>
  <c r="L37" i="5"/>
  <c r="N35" i="2" s="1"/>
  <c r="BP38" i="2"/>
  <c r="BP17" i="2"/>
  <c r="BP7" i="2"/>
  <c r="BP60" i="2"/>
  <c r="BP39" i="2"/>
  <c r="BP45" i="2"/>
  <c r="BP66" i="2"/>
  <c r="BP73" i="2"/>
  <c r="BP67" i="2"/>
  <c r="BP25" i="2"/>
  <c r="BP58" i="2"/>
  <c r="BP82" i="2"/>
  <c r="BP72" i="2"/>
  <c r="BP94" i="2"/>
  <c r="BP93" i="2"/>
  <c r="L40" i="3"/>
  <c r="G38" i="2" s="1"/>
  <c r="L85" i="3"/>
  <c r="G83" i="2" s="1"/>
  <c r="L86" i="3"/>
  <c r="G84" i="2" s="1"/>
  <c r="L65" i="5"/>
  <c r="N63" i="2" s="1"/>
  <c r="L13" i="5"/>
  <c r="N11" i="2" s="1"/>
  <c r="L69" i="5"/>
  <c r="N67" i="2" s="1"/>
  <c r="L53" i="7"/>
  <c r="AB51" i="2" s="1"/>
  <c r="L38" i="9"/>
  <c r="AP36" i="2" s="1"/>
  <c r="L54" i="7"/>
  <c r="AB52" i="2" s="1"/>
  <c r="L79" i="10"/>
  <c r="BD77" i="2" s="1"/>
  <c r="BP71" i="2"/>
  <c r="L74" i="3"/>
  <c r="G72" i="2" s="1"/>
  <c r="L98" i="3"/>
  <c r="G96" i="2" s="1"/>
  <c r="BP48" i="2"/>
  <c r="BP14" i="2"/>
  <c r="L24" i="3"/>
  <c r="G22" i="2" s="1"/>
  <c r="BP78" i="2"/>
  <c r="BP4" i="2"/>
  <c r="BP31" i="2"/>
  <c r="L89" i="3"/>
  <c r="G87" i="2" s="1"/>
  <c r="L11" i="3"/>
  <c r="G9" i="2" s="1"/>
  <c r="L54" i="3"/>
  <c r="G52" i="2" s="1"/>
  <c r="L55" i="3"/>
  <c r="G53" i="2" s="1"/>
  <c r="L75" i="3"/>
  <c r="G73" i="2" s="1"/>
  <c r="L22" i="3"/>
  <c r="G20" i="2" s="1"/>
  <c r="L96" i="5"/>
  <c r="N94" i="2" s="1"/>
  <c r="L20" i="5"/>
  <c r="N18" i="2" s="1"/>
  <c r="L45" i="5"/>
  <c r="N43" i="2" s="1"/>
  <c r="L56" i="5"/>
  <c r="N54" i="2" s="1"/>
  <c r="L55" i="5"/>
  <c r="N53" i="2" s="1"/>
  <c r="L50" i="5"/>
  <c r="N48" i="2" s="1"/>
  <c r="L60" i="7"/>
  <c r="AB58" i="2" s="1"/>
  <c r="L100" i="10"/>
  <c r="BD98" i="2" s="1"/>
  <c r="L28" i="7"/>
  <c r="AB26" i="2" s="1"/>
  <c r="L64" i="12"/>
  <c r="BK62" i="2" s="1"/>
  <c r="L53" i="6"/>
  <c r="U51" i="2" s="1"/>
  <c r="L76" i="11"/>
  <c r="AI74" i="2" s="1"/>
  <c r="L90" i="10"/>
  <c r="BD88" i="2" s="1"/>
  <c r="L74" i="6"/>
  <c r="U72" i="2" s="1"/>
  <c r="L44" i="8"/>
  <c r="AW42" i="2" s="1"/>
  <c r="L23" i="7"/>
  <c r="AB21" i="2" s="1"/>
  <c r="L72" i="6"/>
  <c r="U70" i="2" s="1"/>
  <c r="L89" i="7"/>
  <c r="AB87" i="2" s="1"/>
  <c r="L31" i="8"/>
  <c r="AW29" i="2" s="1"/>
  <c r="L96" i="6"/>
  <c r="U94" i="2" s="1"/>
  <c r="L88" i="3"/>
  <c r="G86" i="2" s="1"/>
  <c r="L58" i="3"/>
  <c r="G56" i="2" s="1"/>
  <c r="L42" i="3"/>
  <c r="G40" i="2" s="1"/>
  <c r="L99" i="3"/>
  <c r="G97" i="2" s="1"/>
  <c r="L20" i="3"/>
  <c r="G18" i="2" s="1"/>
  <c r="L75" i="5"/>
  <c r="N73" i="2" s="1"/>
  <c r="L17" i="5"/>
  <c r="N15" i="2" s="1"/>
  <c r="L9" i="5"/>
  <c r="N7" i="2" s="1"/>
  <c r="L81" i="5"/>
  <c r="N79" i="2" s="1"/>
  <c r="L25" i="5"/>
  <c r="N23" i="2" s="1"/>
  <c r="L59" i="5"/>
  <c r="N57" i="2" s="1"/>
  <c r="L51" i="5"/>
  <c r="N49" i="2" s="1"/>
  <c r="L64" i="9"/>
  <c r="AP62" i="2" s="1"/>
  <c r="L67" i="6"/>
  <c r="U65" i="2" s="1"/>
  <c r="L6" i="8"/>
  <c r="AW4" i="2" s="1"/>
  <c r="L33" i="6"/>
  <c r="U31" i="2" s="1"/>
  <c r="L65" i="7"/>
  <c r="AB63" i="2" s="1"/>
  <c r="L61" i="9"/>
  <c r="AP59" i="2" s="1"/>
  <c r="L44" i="12"/>
  <c r="BK42" i="2" s="1"/>
  <c r="L64" i="11"/>
  <c r="AI62" i="2" s="1"/>
  <c r="L28" i="6"/>
  <c r="U26" i="2" s="1"/>
  <c r="L80" i="9"/>
  <c r="AP78" i="2" s="1"/>
  <c r="L39" i="6"/>
  <c r="U37" i="2" s="1"/>
  <c r="L70" i="11"/>
  <c r="AI68" i="2" s="1"/>
  <c r="L73" i="12"/>
  <c r="BK71" i="2" s="1"/>
  <c r="L37" i="7"/>
  <c r="AB35" i="2" s="1"/>
  <c r="L90" i="3"/>
  <c r="G88" i="2" s="1"/>
  <c r="L8" i="3"/>
  <c r="G6" i="2" s="1"/>
  <c r="L49" i="3"/>
  <c r="G47" i="2" s="1"/>
  <c r="L102" i="3"/>
  <c r="G100" i="2" s="1"/>
  <c r="L73" i="3"/>
  <c r="G71" i="2" s="1"/>
  <c r="L25" i="3"/>
  <c r="G23" i="2" s="1"/>
  <c r="L46" i="5"/>
  <c r="N44" i="2" s="1"/>
  <c r="L73" i="5"/>
  <c r="N71" i="2" s="1"/>
  <c r="L33" i="5"/>
  <c r="N31" i="2" s="1"/>
  <c r="L11" i="5"/>
  <c r="N9" i="2" s="1"/>
  <c r="L72" i="5"/>
  <c r="N70" i="2" s="1"/>
  <c r="L97" i="5"/>
  <c r="N95" i="2" s="1"/>
  <c r="L49" i="7"/>
  <c r="AB47" i="2" s="1"/>
  <c r="L90" i="12"/>
  <c r="BK88" i="2" s="1"/>
  <c r="L51" i="11"/>
  <c r="AI49" i="2" s="1"/>
  <c r="L35" i="12"/>
  <c r="BK33" i="2" s="1"/>
  <c r="L95" i="7"/>
  <c r="AB93" i="2" s="1"/>
  <c r="L29" i="11"/>
  <c r="AI27" i="2" s="1"/>
  <c r="L34" i="10"/>
  <c r="BD32" i="2" s="1"/>
  <c r="L42" i="7"/>
  <c r="AB40" i="2" s="1"/>
  <c r="L42" i="10"/>
  <c r="BD40" i="2" s="1"/>
  <c r="L87" i="7"/>
  <c r="AB85" i="2" s="1"/>
  <c r="L86" i="6"/>
  <c r="U84" i="2" s="1"/>
  <c r="L90" i="7"/>
  <c r="AB88" i="2" s="1"/>
  <c r="L36" i="8"/>
  <c r="AW34" i="2" s="1"/>
  <c r="L98" i="6"/>
  <c r="U96" i="2" s="1"/>
  <c r="BP24" i="2"/>
  <c r="BP53" i="2"/>
  <c r="BP26" i="2"/>
  <c r="BP61" i="2"/>
  <c r="L87" i="3"/>
  <c r="G85" i="2" s="1"/>
  <c r="L10" i="3"/>
  <c r="G8" i="2" s="1"/>
  <c r="L101" i="3"/>
  <c r="G99" i="2" s="1"/>
  <c r="L32" i="3"/>
  <c r="G30" i="2" s="1"/>
  <c r="L5" i="3"/>
  <c r="G3" i="2" s="1"/>
  <c r="L44" i="3"/>
  <c r="G42" i="2" s="1"/>
  <c r="L24" i="5"/>
  <c r="N22" i="2" s="1"/>
  <c r="L19" i="5"/>
  <c r="N17" i="2" s="1"/>
  <c r="L16" i="5"/>
  <c r="N14" i="2" s="1"/>
  <c r="L64" i="5"/>
  <c r="N62" i="2" s="1"/>
  <c r="L67" i="5"/>
  <c r="N65" i="2" s="1"/>
  <c r="L49" i="5"/>
  <c r="N47" i="2" s="1"/>
  <c r="L36" i="6"/>
  <c r="U34" i="2" s="1"/>
  <c r="L88" i="10"/>
  <c r="BD86" i="2" s="1"/>
  <c r="L81" i="7"/>
  <c r="AB79" i="2" s="1"/>
  <c r="L68" i="10"/>
  <c r="BD66" i="2" s="1"/>
  <c r="L51" i="7"/>
  <c r="AB49" i="2" s="1"/>
  <c r="L34" i="9"/>
  <c r="AP32" i="2" s="1"/>
  <c r="L80" i="6"/>
  <c r="U78" i="2" s="1"/>
  <c r="L67" i="10"/>
  <c r="BD65" i="2" s="1"/>
  <c r="L47" i="11"/>
  <c r="AI45" i="2" s="1"/>
  <c r="L85" i="7"/>
  <c r="AB83" i="2" s="1"/>
  <c r="L89" i="8"/>
  <c r="AW87" i="2" s="1"/>
  <c r="L76" i="6"/>
  <c r="U74" i="2" s="1"/>
  <c r="L86" i="7"/>
  <c r="AB84" i="2" s="1"/>
  <c r="L62" i="8"/>
  <c r="AW60" i="2" s="1"/>
  <c r="L87" i="12"/>
  <c r="BK85" i="2" s="1"/>
  <c r="L50" i="7"/>
  <c r="AB48" i="2" s="1"/>
  <c r="L92" i="9"/>
  <c r="AP90" i="2" s="1"/>
  <c r="L75" i="10"/>
  <c r="BD73" i="2" s="1"/>
  <c r="L44" i="11"/>
  <c r="AI42" i="2" s="1"/>
  <c r="L73" i="9"/>
  <c r="AP71" i="2" s="1"/>
  <c r="L35" i="10"/>
  <c r="BD33" i="2" s="1"/>
  <c r="L57" i="9"/>
  <c r="AP55" i="2" s="1"/>
  <c r="L27" i="10"/>
  <c r="BD25" i="2" s="1"/>
  <c r="L71" i="7"/>
  <c r="AB69" i="2" s="1"/>
  <c r="L51" i="10"/>
  <c r="BD49" i="2" s="1"/>
  <c r="L24" i="11"/>
  <c r="AI22" i="2" s="1"/>
  <c r="L78" i="6"/>
  <c r="U76" i="2" s="1"/>
  <c r="L41" i="7"/>
  <c r="AB39" i="2" s="1"/>
  <c r="L103" i="10"/>
  <c r="BD101" i="2" s="1"/>
  <c r="L20" i="6"/>
  <c r="U18" i="2" s="1"/>
  <c r="L15" i="3"/>
  <c r="G13" i="2" s="1"/>
  <c r="L82" i="3"/>
  <c r="G80" i="2" s="1"/>
  <c r="L33" i="3"/>
  <c r="G31" i="2" s="1"/>
  <c r="L68" i="3"/>
  <c r="G66" i="2" s="1"/>
  <c r="L72" i="3"/>
  <c r="G70" i="2" s="1"/>
  <c r="L29" i="5"/>
  <c r="N27" i="2" s="1"/>
  <c r="L54" i="5"/>
  <c r="N52" i="2" s="1"/>
  <c r="L83" i="5"/>
  <c r="N81" i="2" s="1"/>
  <c r="L8" i="5"/>
  <c r="N6" i="2" s="1"/>
  <c r="L14" i="5"/>
  <c r="N12" i="2" s="1"/>
  <c r="L43" i="5"/>
  <c r="N41" i="2" s="1"/>
  <c r="L75" i="6"/>
  <c r="U73" i="2" s="1"/>
  <c r="L95" i="8"/>
  <c r="AW93" i="2" s="1"/>
  <c r="L21" i="7"/>
  <c r="AB19" i="2" s="1"/>
  <c r="L52" i="10"/>
  <c r="BD50" i="2" s="1"/>
  <c r="L11" i="6"/>
  <c r="U9" i="2" s="1"/>
  <c r="L60" i="11"/>
  <c r="AI58" i="2" s="1"/>
  <c r="L69" i="8"/>
  <c r="AW67" i="2" s="1"/>
  <c r="L97" i="6"/>
  <c r="U95" i="2" s="1"/>
  <c r="L45" i="9"/>
  <c r="AP43" i="2" s="1"/>
  <c r="L49" i="6"/>
  <c r="U47" i="2" s="1"/>
  <c r="L45" i="8"/>
  <c r="AW43" i="2" s="1"/>
  <c r="L40" i="7"/>
  <c r="AB38" i="2" s="1"/>
  <c r="L74" i="9"/>
  <c r="AP72" i="2" s="1"/>
  <c r="L89" i="6"/>
  <c r="U87" i="2" s="1"/>
  <c r="L7" i="3"/>
  <c r="G5" i="2" s="1"/>
  <c r="L69" i="3"/>
  <c r="G67" i="2" s="1"/>
  <c r="L29" i="3"/>
  <c r="G27" i="2" s="1"/>
  <c r="L96" i="3"/>
  <c r="G94" i="2" s="1"/>
  <c r="L56" i="3"/>
  <c r="G54" i="2" s="1"/>
  <c r="L27" i="3"/>
  <c r="G25" i="2" s="1"/>
  <c r="L57" i="3"/>
  <c r="G55" i="2" s="1"/>
  <c r="L40" i="5"/>
  <c r="N38" i="2" s="1"/>
  <c r="L80" i="5"/>
  <c r="N78" i="2" s="1"/>
  <c r="L48" i="5"/>
  <c r="N46" i="2" s="1"/>
  <c r="L10" i="5"/>
  <c r="N8" i="2" s="1"/>
  <c r="L101" i="5"/>
  <c r="N99" i="2" s="1"/>
  <c r="L12" i="5"/>
  <c r="N10" i="2" s="1"/>
  <c r="L90" i="11"/>
  <c r="AI88" i="2" s="1"/>
  <c r="L57" i="6"/>
  <c r="U55" i="2" s="1"/>
  <c r="L90" i="9"/>
  <c r="AP88" i="2" s="1"/>
  <c r="L95" i="6"/>
  <c r="U93" i="2" s="1"/>
  <c r="L76" i="7"/>
  <c r="AB74" i="2" s="1"/>
  <c r="L33" i="9"/>
  <c r="AP31" i="2" s="1"/>
  <c r="L45" i="12"/>
  <c r="BK43" i="2" s="1"/>
  <c r="L22" i="7"/>
  <c r="AB20" i="2" s="1"/>
  <c r="L65" i="12"/>
  <c r="BK63" i="2" s="1"/>
  <c r="L80" i="11"/>
  <c r="AI78" i="2" s="1"/>
  <c r="L99" i="6"/>
  <c r="U97" i="2" s="1"/>
  <c r="L42" i="11"/>
  <c r="AI40" i="2" s="1"/>
  <c r="L96" i="10"/>
  <c r="BD94" i="2" s="1"/>
  <c r="L73" i="7"/>
  <c r="AB71" i="2" s="1"/>
  <c r="BP19" i="2"/>
  <c r="BP21" i="2"/>
  <c r="BP64" i="2"/>
  <c r="BP8" i="2"/>
  <c r="L65" i="3"/>
  <c r="G63" i="2" s="1"/>
  <c r="L18" i="3"/>
  <c r="G16" i="2" s="1"/>
  <c r="L60" i="3"/>
  <c r="G58" i="2" s="1"/>
  <c r="L34" i="3"/>
  <c r="G32" i="2" s="1"/>
  <c r="L36" i="3"/>
  <c r="G34" i="2" s="1"/>
  <c r="L91" i="3"/>
  <c r="G89" i="2" s="1"/>
  <c r="L41" i="5"/>
  <c r="N39" i="2" s="1"/>
  <c r="L78" i="5"/>
  <c r="N76" i="2" s="1"/>
  <c r="L84" i="5"/>
  <c r="N82" i="2" s="1"/>
  <c r="L52" i="5"/>
  <c r="N50" i="2" s="1"/>
  <c r="L7" i="5"/>
  <c r="N5" i="2" s="1"/>
  <c r="L87" i="5"/>
  <c r="N85" i="2" s="1"/>
  <c r="L94" i="7"/>
  <c r="AB92" i="2" s="1"/>
  <c r="L88" i="12"/>
  <c r="BK86" i="2" s="1"/>
  <c r="L53" i="11"/>
  <c r="AI51" i="2" s="1"/>
  <c r="L70" i="12"/>
  <c r="BK68" i="2" s="1"/>
  <c r="L15" i="7"/>
  <c r="AB13" i="2" s="1"/>
  <c r="L55" i="8"/>
  <c r="AW53" i="2" s="1"/>
  <c r="L59" i="7"/>
  <c r="AB57" i="2" s="1"/>
  <c r="L53" i="12"/>
  <c r="BK51" i="2" s="1"/>
  <c r="L8" i="6"/>
  <c r="U6" i="2" s="1"/>
  <c r="L100" i="7"/>
  <c r="AB98" i="2" s="1"/>
  <c r="L54" i="6"/>
  <c r="U52" i="2" s="1"/>
  <c r="L14" i="7"/>
  <c r="AB12" i="2" s="1"/>
  <c r="L19" i="11"/>
  <c r="AI17" i="2" s="1"/>
  <c r="L58" i="10"/>
  <c r="BD56" i="2" s="1"/>
  <c r="L12" i="6"/>
  <c r="U10" i="2" s="1"/>
  <c r="L18" i="7"/>
  <c r="AB16" i="2" s="1"/>
  <c r="L75" i="8"/>
  <c r="AW73" i="2" s="1"/>
  <c r="L39" i="12"/>
  <c r="BK37" i="2" s="1"/>
  <c r="L29" i="9"/>
  <c r="AP27" i="2" s="1"/>
  <c r="L63" i="8"/>
  <c r="AW61" i="2" s="1"/>
  <c r="L81" i="12"/>
  <c r="BK79" i="2" s="1"/>
  <c r="L60" i="9"/>
  <c r="AP58" i="2" s="1"/>
  <c r="L60" i="12"/>
  <c r="BK58" i="2" s="1"/>
  <c r="BP54" i="2"/>
  <c r="BP23" i="2"/>
  <c r="BP95" i="2"/>
  <c r="BP33" i="2"/>
  <c r="BP46" i="2"/>
  <c r="BP32" i="2"/>
  <c r="BP96" i="2"/>
  <c r="BP35" i="2"/>
  <c r="BP57" i="2"/>
  <c r="L62" i="3"/>
  <c r="G60" i="2" s="1"/>
  <c r="L81" i="3"/>
  <c r="G79" i="2" s="1"/>
  <c r="L66" i="3"/>
  <c r="G64" i="2" s="1"/>
  <c r="L37" i="3"/>
  <c r="G35" i="2" s="1"/>
  <c r="L17" i="3"/>
  <c r="G15" i="2" s="1"/>
  <c r="L100" i="3"/>
  <c r="G98" i="2" s="1"/>
  <c r="L79" i="5"/>
  <c r="N77" i="2" s="1"/>
  <c r="L71" i="5"/>
  <c r="N69" i="2" s="1"/>
  <c r="L94" i="5"/>
  <c r="N92" i="2" s="1"/>
  <c r="L38" i="5"/>
  <c r="N36" i="2" s="1"/>
  <c r="L63" i="5"/>
  <c r="N61" i="2" s="1"/>
  <c r="L5" i="5"/>
  <c r="N3" i="2" s="1"/>
  <c r="L88" i="5"/>
  <c r="N86" i="2" s="1"/>
  <c r="L103" i="11"/>
  <c r="AI101" i="2" s="1"/>
  <c r="L52" i="6"/>
  <c r="U50" i="2" s="1"/>
  <c r="L40" i="8"/>
  <c r="AW38" i="2" s="1"/>
  <c r="L45" i="6"/>
  <c r="U43" i="2" s="1"/>
  <c r="L80" i="7"/>
  <c r="AB78" i="2" s="1"/>
  <c r="L31" i="9"/>
  <c r="AP29" i="2" s="1"/>
  <c r="L48" i="12"/>
  <c r="BK46" i="2" s="1"/>
  <c r="L57" i="11"/>
  <c r="AI55" i="2" s="1"/>
  <c r="L27" i="6"/>
  <c r="U25" i="2" s="1"/>
  <c r="L72" i="9"/>
  <c r="AP70" i="2" s="1"/>
  <c r="L69" i="6"/>
  <c r="U67" i="2" s="1"/>
  <c r="L27" i="11"/>
  <c r="AI25" i="2" s="1"/>
  <c r="L38" i="10"/>
  <c r="BD36" i="2" s="1"/>
  <c r="L92" i="7"/>
  <c r="AB90" i="2" s="1"/>
  <c r="L19" i="3"/>
  <c r="G17" i="2" s="1"/>
  <c r="L13" i="3"/>
  <c r="G11" i="2" s="1"/>
  <c r="L9" i="3"/>
  <c r="G7" i="2" s="1"/>
  <c r="L78" i="3"/>
  <c r="G76" i="2" s="1"/>
  <c r="L6" i="3"/>
  <c r="G4" i="2" s="1"/>
  <c r="L44" i="5"/>
  <c r="N42" i="2" s="1"/>
  <c r="L27" i="5"/>
  <c r="N25" i="2" s="1"/>
  <c r="L92" i="5"/>
  <c r="N90" i="2" s="1"/>
  <c r="L102" i="5"/>
  <c r="N100" i="2" s="1"/>
  <c r="L66" i="5"/>
  <c r="N64" i="2" s="1"/>
  <c r="L99" i="5"/>
  <c r="N97" i="2" s="1"/>
  <c r="L35" i="7"/>
  <c r="AB33" i="2" s="1"/>
  <c r="L29" i="10"/>
  <c r="BD27" i="2" s="1"/>
  <c r="L83" i="11"/>
  <c r="AI81" i="2" s="1"/>
  <c r="L71" i="12"/>
  <c r="BK69" i="2" s="1"/>
  <c r="L88" i="7"/>
  <c r="AB86" i="2" s="1"/>
  <c r="L41" i="11"/>
  <c r="AI39" i="2" s="1"/>
  <c r="L24" i="10"/>
  <c r="BD22" i="2" s="1"/>
  <c r="L56" i="6"/>
  <c r="U54" i="2" s="1"/>
  <c r="L66" i="10"/>
  <c r="BD64" i="2" s="1"/>
  <c r="L98" i="7"/>
  <c r="AB96" i="2" s="1"/>
  <c r="L62" i="6"/>
  <c r="U60" i="2" s="1"/>
  <c r="L48" i="7"/>
  <c r="AB46" i="2" s="1"/>
  <c r="L56" i="8"/>
  <c r="AW54" i="2" s="1"/>
  <c r="L59" i="6"/>
  <c r="U57" i="2" s="1"/>
  <c r="L80" i="3"/>
  <c r="G78" i="2" s="1"/>
  <c r="L94" i="3"/>
  <c r="G92" i="2" s="1"/>
  <c r="L23" i="3"/>
  <c r="G21" i="2" s="1"/>
  <c r="L21" i="3"/>
  <c r="G19" i="2" s="1"/>
  <c r="L43" i="3"/>
  <c r="G41" i="2" s="1"/>
  <c r="L71" i="3"/>
  <c r="G69" i="2" s="1"/>
  <c r="L26" i="5"/>
  <c r="N24" i="2" s="1"/>
  <c r="L15" i="5"/>
  <c r="N13" i="2" s="1"/>
  <c r="L21" i="5"/>
  <c r="N19" i="2" s="1"/>
  <c r="L28" i="5"/>
  <c r="N26" i="2" s="1"/>
  <c r="L70" i="5"/>
  <c r="N68" i="2" s="1"/>
  <c r="L22" i="5"/>
  <c r="N20" i="2" s="1"/>
  <c r="L50" i="6"/>
  <c r="U48" i="2" s="1"/>
  <c r="L70" i="9"/>
  <c r="AP68" i="2" s="1"/>
  <c r="L102" i="6"/>
  <c r="U100" i="2" s="1"/>
  <c r="L74" i="10"/>
  <c r="BD72" i="2" s="1"/>
  <c r="L7" i="6"/>
  <c r="U5" i="2" s="1"/>
  <c r="L24" i="7"/>
  <c r="AB22" i="2" s="1"/>
  <c r="L16" i="8"/>
  <c r="AW14" i="2" s="1"/>
  <c r="L101" i="12"/>
  <c r="BK99" i="2" s="1"/>
  <c r="L100" i="11"/>
  <c r="AI98" i="2" s="1"/>
  <c r="L29" i="6"/>
  <c r="U27" i="2" s="1"/>
  <c r="L79" i="9"/>
  <c r="AP77" i="2" s="1"/>
  <c r="L61" i="6"/>
  <c r="U59" i="2" s="1"/>
  <c r="L8" i="11"/>
  <c r="AI6" i="2" s="1"/>
  <c r="L40" i="12"/>
  <c r="BK38" i="2" s="1"/>
  <c r="L29" i="7"/>
  <c r="AB27" i="2" s="1"/>
  <c r="BP55" i="2"/>
  <c r="BP41" i="2"/>
  <c r="BP74" i="2"/>
  <c r="L41" i="3"/>
  <c r="G39" i="2" s="1"/>
  <c r="L64" i="3"/>
  <c r="G62" i="2" s="1"/>
  <c r="L51" i="3"/>
  <c r="G49" i="2" s="1"/>
  <c r="L67" i="3"/>
  <c r="G65" i="2" s="1"/>
  <c r="L63" i="3"/>
  <c r="G61" i="2" s="1"/>
  <c r="L70" i="3"/>
  <c r="G68" i="2" s="1"/>
  <c r="L100" i="5"/>
  <c r="N98" i="2" s="1"/>
  <c r="L31" i="5"/>
  <c r="N29" i="2" s="1"/>
  <c r="L85" i="5"/>
  <c r="N83" i="2" s="1"/>
  <c r="L53" i="5"/>
  <c r="N51" i="2" s="1"/>
  <c r="L103" i="5"/>
  <c r="N101" i="2" s="1"/>
  <c r="L32" i="5"/>
  <c r="N30" i="2" s="1"/>
  <c r="L58" i="5"/>
  <c r="N56" i="2" s="1"/>
  <c r="L14" i="11"/>
  <c r="AI12" i="2" s="1"/>
  <c r="L17" i="6"/>
  <c r="U15" i="2" s="1"/>
  <c r="L92" i="8"/>
  <c r="AW90" i="2" s="1"/>
  <c r="L60" i="6"/>
  <c r="U58" i="2" s="1"/>
  <c r="L26" i="11"/>
  <c r="AI24" i="2" s="1"/>
  <c r="L44" i="10"/>
  <c r="BD42" i="2" s="1"/>
  <c r="L16" i="7"/>
  <c r="AB14" i="2" s="1"/>
  <c r="L36" i="7"/>
  <c r="AB34" i="2" s="1"/>
  <c r="L70" i="6"/>
  <c r="U68" i="2" s="1"/>
  <c r="L23" i="11"/>
  <c r="AI21" i="2" s="1"/>
  <c r="L31" i="6"/>
  <c r="U29" i="2" s="1"/>
  <c r="L67" i="7"/>
  <c r="AB65" i="2" s="1"/>
  <c r="L68" i="9"/>
  <c r="AP66" i="2" s="1"/>
  <c r="L11" i="10"/>
  <c r="BD9" i="2" s="1"/>
  <c r="L46" i="6"/>
  <c r="U44" i="2" s="1"/>
  <c r="L74" i="7"/>
  <c r="AB72" i="2" s="1"/>
  <c r="L10" i="8"/>
  <c r="AW8" i="2" s="1"/>
  <c r="L6" i="7"/>
  <c r="AB4" i="2" s="1"/>
  <c r="L27" i="9"/>
  <c r="AP25" i="2" s="1"/>
  <c r="L15" i="8"/>
  <c r="AW13" i="2" s="1"/>
  <c r="L28" i="11"/>
  <c r="AI26" i="2" s="1"/>
  <c r="L39" i="8"/>
  <c r="AW37" i="2" s="1"/>
  <c r="L93" i="11"/>
  <c r="AI91" i="2" s="1"/>
  <c r="L32" i="9"/>
  <c r="AP30" i="2" s="1"/>
  <c r="L68" i="6"/>
  <c r="U66" i="2" s="1"/>
  <c r="L14" i="8"/>
  <c r="AW12" i="2" s="1"/>
  <c r="L58" i="7"/>
  <c r="AB56" i="2" s="1"/>
  <c r="L36" i="9"/>
  <c r="AP34" i="2" s="1"/>
  <c r="L54" i="12"/>
  <c r="BK52" i="2" s="1"/>
  <c r="L76" i="3"/>
  <c r="G74" i="2" s="1"/>
  <c r="L61" i="3"/>
  <c r="G59" i="2" s="1"/>
  <c r="L39" i="3"/>
  <c r="G37" i="2" s="1"/>
  <c r="L52" i="3"/>
  <c r="G50" i="2" s="1"/>
  <c r="L12" i="3"/>
  <c r="G10" i="2" s="1"/>
  <c r="L46" i="3"/>
  <c r="G44" i="2" s="1"/>
  <c r="L30" i="5"/>
  <c r="N28" i="2" s="1"/>
  <c r="L77" i="5"/>
  <c r="N75" i="2" s="1"/>
  <c r="L60" i="5"/>
  <c r="N58" i="2" s="1"/>
  <c r="L61" i="5"/>
  <c r="N59" i="2" s="1"/>
  <c r="L34" i="5"/>
  <c r="N32" i="2" s="1"/>
  <c r="L6" i="5"/>
  <c r="N4" i="2" s="1"/>
  <c r="L52" i="7"/>
  <c r="AB50" i="2" s="1"/>
  <c r="L81" i="6"/>
  <c r="U79" i="2" s="1"/>
  <c r="L43" i="9"/>
  <c r="AP41" i="2" s="1"/>
  <c r="L94" i="6"/>
  <c r="U92" i="2" s="1"/>
  <c r="L34" i="7"/>
  <c r="AB32" i="2" s="1"/>
  <c r="L66" i="9"/>
  <c r="AP64" i="2" s="1"/>
  <c r="L94" i="10"/>
  <c r="BD92" i="2" s="1"/>
  <c r="L69" i="7"/>
  <c r="AB67" i="2" s="1"/>
  <c r="L62" i="12"/>
  <c r="BK60" i="2" s="1"/>
  <c r="L72" i="11"/>
  <c r="AI70" i="2" s="1"/>
  <c r="L14" i="6"/>
  <c r="U12" i="2" s="1"/>
  <c r="L17" i="7"/>
  <c r="AB15" i="2" s="1"/>
  <c r="L48" i="10"/>
  <c r="BD46" i="2" s="1"/>
  <c r="L93" i="7"/>
  <c r="AB91" i="2" s="1"/>
  <c r="L95" i="3"/>
  <c r="G93" i="2" s="1"/>
  <c r="L84" i="3"/>
  <c r="G82" i="2" s="1"/>
  <c r="L48" i="3"/>
  <c r="G46" i="2" s="1"/>
  <c r="L103" i="3"/>
  <c r="G101" i="2" s="1"/>
  <c r="L38" i="3"/>
  <c r="G36" i="2" s="1"/>
  <c r="L35" i="3"/>
  <c r="G33" i="2" s="1"/>
  <c r="L91" i="5"/>
  <c r="N89" i="2" s="1"/>
  <c r="L18" i="5"/>
  <c r="N16" i="2" s="1"/>
  <c r="L86" i="5"/>
  <c r="N84" i="2" s="1"/>
  <c r="L42" i="5"/>
  <c r="N40" i="2" s="1"/>
  <c r="L68" i="5"/>
  <c r="N66" i="2" s="1"/>
  <c r="L36" i="5"/>
  <c r="N34" i="2" s="1"/>
  <c r="L26" i="6"/>
  <c r="U24" i="2" s="1"/>
  <c r="L54" i="8"/>
  <c r="AW52" i="2" s="1"/>
  <c r="L30" i="7"/>
  <c r="AB28" i="2" s="1"/>
  <c r="L93" i="10"/>
  <c r="BD91" i="2" s="1"/>
  <c r="L88" i="6"/>
  <c r="U86" i="2" s="1"/>
  <c r="L62" i="11"/>
  <c r="AI60" i="2" s="1"/>
  <c r="L38" i="8"/>
  <c r="AW36" i="2" s="1"/>
  <c r="L22" i="6"/>
  <c r="U20" i="2" s="1"/>
  <c r="L97" i="8"/>
  <c r="AW95" i="2" s="1"/>
  <c r="L47" i="7"/>
  <c r="AB45" i="2" s="1"/>
  <c r="L11" i="12"/>
  <c r="BK9" i="2" s="1"/>
  <c r="L83" i="7"/>
  <c r="AB81" i="2" s="1"/>
  <c r="L26" i="9"/>
  <c r="AP24" i="2" s="1"/>
  <c r="L19" i="6"/>
  <c r="U17" i="2" s="1"/>
  <c r="BP22" i="2"/>
  <c r="BP10" i="2"/>
  <c r="BP6" i="2"/>
  <c r="BP9" i="2"/>
  <c r="L59" i="3"/>
  <c r="G57" i="2" s="1"/>
  <c r="L50" i="3"/>
  <c r="G48" i="2" s="1"/>
  <c r="L31" i="3"/>
  <c r="G29" i="2" s="1"/>
  <c r="L26" i="3"/>
  <c r="G24" i="2" s="1"/>
  <c r="L83" i="3"/>
  <c r="G81" i="2" s="1"/>
  <c r="L53" i="3"/>
  <c r="G51" i="2" s="1"/>
  <c r="L74" i="5"/>
  <c r="N72" i="2" s="1"/>
  <c r="L47" i="5"/>
  <c r="N45" i="2" s="1"/>
  <c r="L95" i="5"/>
  <c r="N93" i="2" s="1"/>
  <c r="L76" i="5"/>
  <c r="N74" i="2" s="1"/>
  <c r="L23" i="5"/>
  <c r="N21" i="2" s="1"/>
  <c r="L98" i="5"/>
  <c r="N96" i="2" s="1"/>
  <c r="L32" i="6"/>
  <c r="U30" i="2" s="1"/>
  <c r="L37" i="9"/>
  <c r="AP35" i="2" s="1"/>
  <c r="L34" i="6"/>
  <c r="U32" i="2" s="1"/>
  <c r="L33" i="10"/>
  <c r="BD31" i="2" s="1"/>
  <c r="L24" i="6"/>
  <c r="U22" i="2" s="1"/>
  <c r="L51" i="9"/>
  <c r="AP49" i="2" s="1"/>
  <c r="L55" i="12"/>
  <c r="BK53" i="2" s="1"/>
  <c r="L68" i="8"/>
  <c r="AW66" i="2" s="1"/>
  <c r="L72" i="7"/>
  <c r="AB70" i="2" s="1"/>
  <c r="L55" i="6"/>
  <c r="U53" i="2" s="1"/>
  <c r="L47" i="8"/>
  <c r="AW45" i="2" s="1"/>
  <c r="L40" i="6"/>
  <c r="U38" i="2" s="1"/>
  <c r="L64" i="7"/>
  <c r="AB62" i="2" s="1"/>
  <c r="L7" i="8"/>
  <c r="AW5" i="2" s="1"/>
  <c r="L103" i="12"/>
  <c r="BK101" i="2" s="1"/>
  <c r="L103" i="7"/>
  <c r="AB101" i="2" s="1"/>
  <c r="L71" i="11"/>
  <c r="AI69" i="2" s="1"/>
  <c r="L23" i="10"/>
  <c r="BD21" i="2" s="1"/>
  <c r="L82" i="11"/>
  <c r="AI80" i="2" s="1"/>
  <c r="L95" i="9"/>
  <c r="AP93" i="2" s="1"/>
  <c r="L84" i="10"/>
  <c r="BD82" i="2" s="1"/>
  <c r="L22" i="11"/>
  <c r="AI20" i="2" s="1"/>
  <c r="L20" i="10"/>
  <c r="BD18" i="2" s="1"/>
  <c r="L77" i="8"/>
  <c r="AW75" i="2" s="1"/>
  <c r="L38" i="6"/>
  <c r="U36" i="2" s="1"/>
  <c r="L78" i="7"/>
  <c r="AB76" i="2" s="1"/>
  <c r="L41" i="8"/>
  <c r="AW39" i="2" s="1"/>
  <c r="L21" i="12"/>
  <c r="BK19" i="2" s="1"/>
  <c r="L55" i="9"/>
  <c r="AP53" i="2" s="1"/>
  <c r="L92" i="6"/>
  <c r="U90" i="2" s="1"/>
  <c r="L22" i="8"/>
  <c r="AW20" i="2" s="1"/>
  <c r="L27" i="7"/>
  <c r="AB25" i="2" s="1"/>
  <c r="L101" i="9"/>
  <c r="AP99" i="2" s="1"/>
  <c r="L66" i="12"/>
  <c r="BK64" i="2" s="1"/>
  <c r="L92" i="11"/>
  <c r="AI90" i="2" s="1"/>
  <c r="L18" i="6"/>
  <c r="U16" i="2" s="1"/>
  <c r="L91" i="7"/>
  <c r="AB89" i="2" s="1"/>
  <c r="L59" i="11"/>
  <c r="AI57" i="2" s="1"/>
  <c r="L97" i="9"/>
  <c r="AP95" i="2" s="1"/>
  <c r="L91" i="8"/>
  <c r="AW89" i="2" s="1"/>
  <c r="L92" i="12"/>
  <c r="BK90" i="2" s="1"/>
  <c r="L15" i="6"/>
  <c r="U13" i="2" s="1"/>
  <c r="L77" i="6"/>
  <c r="U75" i="2" s="1"/>
  <c r="L20" i="7"/>
  <c r="AB18" i="2" s="1"/>
  <c r="L88" i="11"/>
  <c r="AI86" i="2" s="1"/>
  <c r="L12" i="9"/>
  <c r="AP10" i="2" s="1"/>
  <c r="L47" i="10"/>
  <c r="BD45" i="2" s="1"/>
  <c r="L42" i="12"/>
  <c r="BK40" i="2" s="1"/>
  <c r="L12" i="11"/>
  <c r="AI10" i="2" s="1"/>
  <c r="L68" i="11"/>
  <c r="AI66" i="2" s="1"/>
  <c r="L81" i="9"/>
  <c r="AP79" i="2" s="1"/>
  <c r="L46" i="8"/>
  <c r="AW44" i="2" s="1"/>
  <c r="L57" i="8"/>
  <c r="AW55" i="2" s="1"/>
  <c r="L65" i="10"/>
  <c r="BD63" i="2" s="1"/>
  <c r="L27" i="12"/>
  <c r="BK25" i="2" s="1"/>
  <c r="L7" i="12"/>
  <c r="BK5" i="2" s="1"/>
  <c r="L17" i="11"/>
  <c r="AI15" i="2" s="1"/>
  <c r="L58" i="11"/>
  <c r="AI56" i="2" s="1"/>
  <c r="L42" i="9"/>
  <c r="AP40" i="2" s="1"/>
  <c r="L19" i="8"/>
  <c r="AW17" i="2" s="1"/>
  <c r="L83" i="8"/>
  <c r="AW81" i="2" s="1"/>
  <c r="L6" i="10"/>
  <c r="BD4" i="2" s="1"/>
  <c r="L59" i="12"/>
  <c r="BK57" i="2" s="1"/>
  <c r="L97" i="12"/>
  <c r="BK95" i="2" s="1"/>
  <c r="L100" i="9"/>
  <c r="AP98" i="2" s="1"/>
  <c r="L101" i="8"/>
  <c r="AW99" i="2" s="1"/>
  <c r="L5" i="12"/>
  <c r="BK3" i="2" s="1"/>
  <c r="L30" i="6"/>
  <c r="U28" i="2" s="1"/>
  <c r="L101" i="6"/>
  <c r="U99" i="2" s="1"/>
  <c r="L75" i="7"/>
  <c r="AB73" i="2" s="1"/>
  <c r="L96" i="11"/>
  <c r="AI94" i="2" s="1"/>
  <c r="L75" i="9"/>
  <c r="AP73" i="2" s="1"/>
  <c r="L60" i="8"/>
  <c r="AW58" i="2" s="1"/>
  <c r="L30" i="12"/>
  <c r="BK28" i="2" s="1"/>
  <c r="L61" i="11"/>
  <c r="AI59" i="2" s="1"/>
  <c r="L5" i="11"/>
  <c r="AI3" i="2" s="1"/>
  <c r="L17" i="9"/>
  <c r="AP15" i="2" s="1"/>
  <c r="L27" i="8"/>
  <c r="AW25" i="2" s="1"/>
  <c r="L70" i="8"/>
  <c r="AW68" i="2" s="1"/>
  <c r="L56" i="10"/>
  <c r="BD54" i="2" s="1"/>
  <c r="L9" i="10"/>
  <c r="BD7" i="2" s="1"/>
  <c r="L51" i="12"/>
  <c r="BK49" i="2" s="1"/>
  <c r="L18" i="11"/>
  <c r="AI16" i="2" s="1"/>
  <c r="L6" i="11"/>
  <c r="AI4" i="2" s="1"/>
  <c r="L91" i="9"/>
  <c r="AP89" i="2" s="1"/>
  <c r="L66" i="8"/>
  <c r="AW64" i="2" s="1"/>
  <c r="L61" i="8"/>
  <c r="AW59" i="2" s="1"/>
  <c r="L71" i="10"/>
  <c r="BD69" i="2" s="1"/>
  <c r="L57" i="12"/>
  <c r="BK55" i="2" s="1"/>
  <c r="L31" i="12"/>
  <c r="BK29" i="2" s="1"/>
  <c r="L65" i="9"/>
  <c r="AP63" i="2" s="1"/>
  <c r="L82" i="10"/>
  <c r="BD80" i="2" s="1"/>
  <c r="L6" i="6"/>
  <c r="U4" i="2" s="1"/>
  <c r="L71" i="6"/>
  <c r="U69" i="2" s="1"/>
  <c r="L97" i="7"/>
  <c r="AB95" i="2" s="1"/>
  <c r="L78" i="11"/>
  <c r="AI76" i="2" s="1"/>
  <c r="L102" i="9"/>
  <c r="AP100" i="2" s="1"/>
  <c r="L16" i="10"/>
  <c r="BD14" i="2" s="1"/>
  <c r="L93" i="12"/>
  <c r="BK91" i="2" s="1"/>
  <c r="L48" i="6"/>
  <c r="U46" i="2" s="1"/>
  <c r="L84" i="6"/>
  <c r="U82" i="2" s="1"/>
  <c r="L56" i="7"/>
  <c r="AB54" i="2" s="1"/>
  <c r="L39" i="11"/>
  <c r="AI37" i="2" s="1"/>
  <c r="L52" i="9"/>
  <c r="AP50" i="2" s="1"/>
  <c r="L18" i="10"/>
  <c r="BD16" i="2" s="1"/>
  <c r="L68" i="12"/>
  <c r="BK66" i="2" s="1"/>
  <c r="L13" i="11"/>
  <c r="AI11" i="2" s="1"/>
  <c r="L65" i="11"/>
  <c r="AI63" i="2" s="1"/>
  <c r="L6" i="9"/>
  <c r="AP4" i="2" s="1"/>
  <c r="L71" i="8"/>
  <c r="AW69" i="2" s="1"/>
  <c r="L65" i="8"/>
  <c r="AW63" i="2" s="1"/>
  <c r="L63" i="10"/>
  <c r="BD61" i="2" s="1"/>
  <c r="L80" i="12"/>
  <c r="BK78" i="2" s="1"/>
  <c r="L72" i="12"/>
  <c r="BK70" i="2" s="1"/>
  <c r="L16" i="11"/>
  <c r="AI14" i="2" s="1"/>
  <c r="L103" i="9"/>
  <c r="AP101" i="2" s="1"/>
  <c r="L89" i="9"/>
  <c r="AP87" i="2" s="1"/>
  <c r="L64" i="8"/>
  <c r="AW62" i="2" s="1"/>
  <c r="L30" i="10"/>
  <c r="BD28" i="2" s="1"/>
  <c r="L69" i="10"/>
  <c r="BD67" i="2" s="1"/>
  <c r="L33" i="12"/>
  <c r="BK31" i="2" s="1"/>
  <c r="L29" i="12"/>
  <c r="BK27" i="2" s="1"/>
  <c r="L21" i="6"/>
  <c r="U19" i="2" s="1"/>
  <c r="L79" i="7"/>
  <c r="AB77" i="2" s="1"/>
  <c r="L8" i="7"/>
  <c r="AB6" i="2" s="1"/>
  <c r="L91" i="11"/>
  <c r="AI89" i="2" s="1"/>
  <c r="L21" i="8"/>
  <c r="AW19" i="2" s="1"/>
  <c r="L39" i="10"/>
  <c r="BD37" i="2" s="1"/>
  <c r="L84" i="12"/>
  <c r="BK82" i="2" s="1"/>
  <c r="L58" i="6"/>
  <c r="U56" i="2" s="1"/>
  <c r="L61" i="7"/>
  <c r="AB59" i="2" s="1"/>
  <c r="L102" i="7"/>
  <c r="AB100" i="2" s="1"/>
  <c r="L78" i="9"/>
  <c r="AP76" i="2" s="1"/>
  <c r="L43" i="8"/>
  <c r="AW41" i="2" s="1"/>
  <c r="L59" i="10"/>
  <c r="BD57" i="2" s="1"/>
  <c r="L17" i="12"/>
  <c r="BK15" i="2" s="1"/>
  <c r="L9" i="11"/>
  <c r="AI7" i="2" s="1"/>
  <c r="L25" i="9"/>
  <c r="AP23" i="2" s="1"/>
  <c r="L21" i="9"/>
  <c r="AP19" i="2" s="1"/>
  <c r="L88" i="8"/>
  <c r="AW86" i="2" s="1"/>
  <c r="L46" i="10"/>
  <c r="BD44" i="2" s="1"/>
  <c r="L72" i="10"/>
  <c r="BD70" i="2" s="1"/>
  <c r="L43" i="12"/>
  <c r="BK41" i="2" s="1"/>
  <c r="L101" i="7"/>
  <c r="AB99" i="2" s="1"/>
  <c r="L43" i="11"/>
  <c r="AI41" i="2" s="1"/>
  <c r="L77" i="9"/>
  <c r="AP75" i="2" s="1"/>
  <c r="L48" i="9"/>
  <c r="AP46" i="2" s="1"/>
  <c r="L58" i="8"/>
  <c r="AW56" i="2" s="1"/>
  <c r="L62" i="10"/>
  <c r="BD60" i="2" s="1"/>
  <c r="L31" i="10"/>
  <c r="BD29" i="2" s="1"/>
  <c r="L37" i="12"/>
  <c r="BK35" i="2" s="1"/>
  <c r="L80" i="8"/>
  <c r="AW78" i="2" s="1"/>
  <c r="L26" i="10"/>
  <c r="BD24" i="2" s="1"/>
  <c r="L77" i="12"/>
  <c r="BK75" i="2" s="1"/>
  <c r="L69" i="12"/>
  <c r="BK67" i="2" s="1"/>
  <c r="L7" i="11"/>
  <c r="AI5" i="2" s="1"/>
  <c r="L93" i="9"/>
  <c r="AP91" i="2" s="1"/>
  <c r="L19" i="9"/>
  <c r="AP17" i="2" s="1"/>
  <c r="L18" i="8"/>
  <c r="AW16" i="2" s="1"/>
  <c r="L19" i="10"/>
  <c r="BD17" i="2" s="1"/>
  <c r="L49" i="10"/>
  <c r="BD47" i="2" s="1"/>
  <c r="L25" i="12"/>
  <c r="BK23" i="2" s="1"/>
  <c r="L34" i="11"/>
  <c r="AI32" i="2" s="1"/>
  <c r="L28" i="9"/>
  <c r="AP26" i="2" s="1"/>
  <c r="L15" i="10"/>
  <c r="BD13" i="2" s="1"/>
  <c r="L23" i="12"/>
  <c r="BK21" i="2" s="1"/>
  <c r="L47" i="6"/>
  <c r="U45" i="2" s="1"/>
  <c r="L73" i="6"/>
  <c r="U71" i="2" s="1"/>
  <c r="L32" i="7"/>
  <c r="AB30" i="2" s="1"/>
  <c r="L79" i="11"/>
  <c r="AI77" i="2" s="1"/>
  <c r="L15" i="9"/>
  <c r="AP13" i="2" s="1"/>
  <c r="L55" i="10"/>
  <c r="BD53" i="2" s="1"/>
  <c r="L95" i="12"/>
  <c r="BK93" i="2" s="1"/>
  <c r="L35" i="11"/>
  <c r="AI33" i="2" s="1"/>
  <c r="L15" i="11"/>
  <c r="AI13" i="2" s="1"/>
  <c r="L50" i="9"/>
  <c r="AP48" i="2" s="1"/>
  <c r="L100" i="8"/>
  <c r="AW98" i="2" s="1"/>
  <c r="L78" i="8"/>
  <c r="AW76" i="2" s="1"/>
  <c r="L21" i="10"/>
  <c r="BD19" i="2" s="1"/>
  <c r="L50" i="12"/>
  <c r="BK48" i="2" s="1"/>
  <c r="L20" i="12"/>
  <c r="BK18" i="2" s="1"/>
  <c r="L99" i="11"/>
  <c r="AI97" i="2" s="1"/>
  <c r="L24" i="9"/>
  <c r="AP22" i="2" s="1"/>
  <c r="L39" i="9"/>
  <c r="AP37" i="2" s="1"/>
  <c r="L74" i="8"/>
  <c r="AW72" i="2" s="1"/>
  <c r="L12" i="8"/>
  <c r="AW10" i="2" s="1"/>
  <c r="L53" i="10"/>
  <c r="BD51" i="2" s="1"/>
  <c r="L61" i="12"/>
  <c r="BK59" i="2" s="1"/>
  <c r="L38" i="12"/>
  <c r="BK36" i="2" s="1"/>
  <c r="L18" i="9"/>
  <c r="AP16" i="2" s="1"/>
  <c r="L76" i="12"/>
  <c r="BK74" i="2" s="1"/>
  <c r="L5" i="6"/>
  <c r="U3" i="2" s="1"/>
  <c r="L25" i="7"/>
  <c r="AB23" i="2" s="1"/>
  <c r="L13" i="7"/>
  <c r="AB11" i="2" s="1"/>
  <c r="L94" i="11"/>
  <c r="AI92" i="2" s="1"/>
  <c r="L32" i="8"/>
  <c r="AW30" i="2" s="1"/>
  <c r="L7" i="10"/>
  <c r="BD5" i="2" s="1"/>
  <c r="L85" i="12"/>
  <c r="BK83" i="2" s="1"/>
  <c r="L51" i="6"/>
  <c r="U49" i="2" s="1"/>
  <c r="L38" i="7"/>
  <c r="AB36" i="2" s="1"/>
  <c r="L43" i="7"/>
  <c r="AB41" i="2" s="1"/>
  <c r="L20" i="11"/>
  <c r="AI18" i="2" s="1"/>
  <c r="L5" i="8"/>
  <c r="AW3" i="2" s="1"/>
  <c r="L92" i="10"/>
  <c r="BD90" i="2" s="1"/>
  <c r="L74" i="12"/>
  <c r="BK72" i="2" s="1"/>
  <c r="L38" i="11"/>
  <c r="AI36" i="2" s="1"/>
  <c r="L76" i="9"/>
  <c r="AP74" i="2" s="1"/>
  <c r="L98" i="9"/>
  <c r="AP96" i="2" s="1"/>
  <c r="L8" i="8"/>
  <c r="AW6" i="2" s="1"/>
  <c r="L40" i="10"/>
  <c r="BD38" i="2" s="1"/>
  <c r="L81" i="10"/>
  <c r="BD79" i="2" s="1"/>
  <c r="L6" i="12"/>
  <c r="BK4" i="2" s="1"/>
  <c r="L24" i="12"/>
  <c r="BK22" i="2" s="1"/>
  <c r="L85" i="11"/>
  <c r="AI83" i="2" s="1"/>
  <c r="L5" i="9"/>
  <c r="AP3" i="2" s="1"/>
  <c r="L47" i="9"/>
  <c r="AP45" i="2" s="1"/>
  <c r="L23" i="8"/>
  <c r="AW21" i="2" s="1"/>
  <c r="L43" i="10"/>
  <c r="BD41" i="2" s="1"/>
  <c r="L102" i="10"/>
  <c r="BD100" i="2" s="1"/>
  <c r="L94" i="12"/>
  <c r="BK92" i="2" s="1"/>
  <c r="L82" i="6"/>
  <c r="U80" i="2" s="1"/>
  <c r="L13" i="6"/>
  <c r="U11" i="2" s="1"/>
  <c r="L84" i="7"/>
  <c r="AB82" i="2" s="1"/>
  <c r="L33" i="7"/>
  <c r="AB31" i="2" s="1"/>
  <c r="L71" i="9"/>
  <c r="AP69" i="2" s="1"/>
  <c r="L24" i="8"/>
  <c r="AW22" i="2" s="1"/>
  <c r="L22" i="10"/>
  <c r="BD20" i="2" s="1"/>
  <c r="L83" i="6"/>
  <c r="U81" i="2" s="1"/>
  <c r="L35" i="6"/>
  <c r="U33" i="2" s="1"/>
  <c r="L7" i="7"/>
  <c r="AB5" i="2" s="1"/>
  <c r="L74" i="11"/>
  <c r="AI72" i="2" s="1"/>
  <c r="L7" i="9"/>
  <c r="AP5" i="2" s="1"/>
  <c r="L73" i="8"/>
  <c r="AW71" i="2" s="1"/>
  <c r="L91" i="10"/>
  <c r="BD89" i="2" s="1"/>
  <c r="L50" i="11"/>
  <c r="AI48" i="2" s="1"/>
  <c r="L48" i="11"/>
  <c r="AI46" i="2" s="1"/>
  <c r="L69" i="9"/>
  <c r="AP67" i="2" s="1"/>
  <c r="L41" i="9"/>
  <c r="AP39" i="2" s="1"/>
  <c r="L28" i="8"/>
  <c r="AW26" i="2" s="1"/>
  <c r="L36" i="10"/>
  <c r="BD34" i="2" s="1"/>
  <c r="L5" i="10"/>
  <c r="BD3" i="2" s="1"/>
  <c r="L52" i="12"/>
  <c r="BK50" i="2" s="1"/>
  <c r="L55" i="11"/>
  <c r="AI53" i="2" s="1"/>
  <c r="L98" i="11"/>
  <c r="AI96" i="2" s="1"/>
  <c r="L22" i="9"/>
  <c r="AP20" i="2" s="1"/>
  <c r="L53" i="8"/>
  <c r="AW51" i="2" s="1"/>
  <c r="L87" i="8"/>
  <c r="AW85" i="2" s="1"/>
  <c r="L60" i="10"/>
  <c r="BD58" i="2" s="1"/>
  <c r="L34" i="12"/>
  <c r="BK32" i="2" s="1"/>
  <c r="L14" i="12"/>
  <c r="BK12" i="2" s="1"/>
  <c r="L37" i="10"/>
  <c r="BD35" i="2" s="1"/>
  <c r="L18" i="12"/>
  <c r="BK16" i="2" s="1"/>
  <c r="L25" i="6"/>
  <c r="U23" i="2" s="1"/>
  <c r="L99" i="7"/>
  <c r="AB97" i="2" s="1"/>
  <c r="L70" i="7"/>
  <c r="AB68" i="2" s="1"/>
  <c r="L73" i="11"/>
  <c r="AI71" i="2" s="1"/>
  <c r="L85" i="8"/>
  <c r="AW83" i="2" s="1"/>
  <c r="L45" i="10"/>
  <c r="BD43" i="2" s="1"/>
  <c r="L89" i="12"/>
  <c r="BK87" i="2" s="1"/>
  <c r="L37" i="11"/>
  <c r="AI35" i="2" s="1"/>
  <c r="L30" i="9"/>
  <c r="AP28" i="2" s="1"/>
  <c r="L11" i="9"/>
  <c r="AP9" i="2" s="1"/>
  <c r="L34" i="8"/>
  <c r="AW32" i="2" s="1"/>
  <c r="L76" i="8"/>
  <c r="AW74" i="2" s="1"/>
  <c r="L78" i="10"/>
  <c r="BD76" i="2" s="1"/>
  <c r="L46" i="12"/>
  <c r="BK44" i="2" s="1"/>
  <c r="L36" i="12"/>
  <c r="BK34" i="2" s="1"/>
  <c r="L102" i="11"/>
  <c r="AI100" i="2" s="1"/>
  <c r="L9" i="9"/>
  <c r="AP7" i="2" s="1"/>
  <c r="L67" i="9"/>
  <c r="AP65" i="2" s="1"/>
  <c r="L67" i="8"/>
  <c r="AW65" i="2" s="1"/>
  <c r="L54" i="10"/>
  <c r="BD52" i="2" s="1"/>
  <c r="L32" i="10"/>
  <c r="BD30" i="2" s="1"/>
  <c r="L82" i="12"/>
  <c r="BK80" i="2" s="1"/>
  <c r="L68" i="7"/>
  <c r="AB66" i="2" s="1"/>
  <c r="L103" i="8"/>
  <c r="AW101" i="2" s="1"/>
  <c r="L96" i="12"/>
  <c r="BK94" i="2" s="1"/>
  <c r="L43" i="6"/>
  <c r="U41" i="2" s="1"/>
  <c r="L57" i="7"/>
  <c r="AB55" i="2" s="1"/>
  <c r="L46" i="7"/>
  <c r="AB44" i="2" s="1"/>
  <c r="L46" i="9"/>
  <c r="AP44" i="2" s="1"/>
  <c r="L17" i="8"/>
  <c r="AW15" i="2" s="1"/>
  <c r="L50" i="10"/>
  <c r="BD48" i="2" s="1"/>
  <c r="L65" i="6"/>
  <c r="U63" i="2" s="1"/>
  <c r="L87" i="6"/>
  <c r="U85" i="2" s="1"/>
  <c r="L82" i="7"/>
  <c r="AB80" i="2" s="1"/>
  <c r="L55" i="7"/>
  <c r="AB53" i="2" s="1"/>
  <c r="L83" i="9"/>
  <c r="AP81" i="2" s="1"/>
  <c r="L51" i="8"/>
  <c r="AW49" i="2" s="1"/>
  <c r="L17" i="10"/>
  <c r="BD15" i="2" s="1"/>
  <c r="L5" i="7"/>
  <c r="AB3" i="2" s="1"/>
  <c r="L84" i="11"/>
  <c r="AI82" i="2" s="1"/>
  <c r="L82" i="9"/>
  <c r="AP80" i="2" s="1"/>
  <c r="L62" i="9"/>
  <c r="AP60" i="2" s="1"/>
  <c r="L42" i="8"/>
  <c r="AW40" i="2" s="1"/>
  <c r="L73" i="10"/>
  <c r="BD71" i="2" s="1"/>
  <c r="L83" i="10"/>
  <c r="BD81" i="2" s="1"/>
  <c r="L22" i="12"/>
  <c r="BK20" i="2" s="1"/>
  <c r="L45" i="11"/>
  <c r="AI43" i="2" s="1"/>
  <c r="L54" i="11"/>
  <c r="AI52" i="2" s="1"/>
  <c r="L88" i="9"/>
  <c r="AP86" i="2" s="1"/>
  <c r="L13" i="8"/>
  <c r="AW11" i="2" s="1"/>
  <c r="L72" i="8"/>
  <c r="AW70" i="2" s="1"/>
  <c r="L10" i="10"/>
  <c r="BD8" i="2" s="1"/>
  <c r="L64" i="10"/>
  <c r="BD62" i="2" s="1"/>
  <c r="L83" i="12"/>
  <c r="BK81" i="2" s="1"/>
  <c r="L93" i="6"/>
  <c r="U91" i="2" s="1"/>
  <c r="L79" i="6"/>
  <c r="U77" i="2" s="1"/>
  <c r="L96" i="7"/>
  <c r="AB94" i="2" s="1"/>
  <c r="L32" i="11"/>
  <c r="AI30" i="2" s="1"/>
  <c r="L16" i="9"/>
  <c r="AP14" i="2" s="1"/>
  <c r="L52" i="8"/>
  <c r="AW50" i="2" s="1"/>
  <c r="L86" i="12"/>
  <c r="BK84" i="2" s="1"/>
  <c r="L44" i="6"/>
  <c r="U42" i="2" s="1"/>
  <c r="L103" i="6"/>
  <c r="U101" i="2" s="1"/>
  <c r="L10" i="7"/>
  <c r="AB8" i="2" s="1"/>
  <c r="L86" i="11"/>
  <c r="AI84" i="2" s="1"/>
  <c r="L14" i="9"/>
  <c r="AP12" i="2" s="1"/>
  <c r="L90" i="8"/>
  <c r="AW88" i="2" s="1"/>
  <c r="L79" i="12"/>
  <c r="BK77" i="2" s="1"/>
  <c r="L66" i="11"/>
  <c r="AI64" i="2" s="1"/>
  <c r="L21" i="11"/>
  <c r="AI19" i="2" s="1"/>
  <c r="L20" i="9"/>
  <c r="AP18" i="2" s="1"/>
  <c r="L26" i="8"/>
  <c r="AW24" i="2" s="1"/>
  <c r="L9" i="8"/>
  <c r="AW7" i="2" s="1"/>
  <c r="L89" i="10"/>
  <c r="BD87" i="2" s="1"/>
  <c r="L10" i="12"/>
  <c r="BK8" i="2" s="1"/>
  <c r="L32" i="12"/>
  <c r="BK30" i="2" s="1"/>
  <c r="L11" i="11"/>
  <c r="AI9" i="2" s="1"/>
  <c r="L69" i="11"/>
  <c r="AI67" i="2" s="1"/>
  <c r="L94" i="9"/>
  <c r="AP92" i="2" s="1"/>
  <c r="L30" i="8"/>
  <c r="AW28" i="2" s="1"/>
  <c r="L11" i="8"/>
  <c r="AW9" i="2" s="1"/>
  <c r="L86" i="10"/>
  <c r="BD84" i="2" s="1"/>
  <c r="L8" i="12"/>
  <c r="BK6" i="2" s="1"/>
  <c r="L78" i="12"/>
  <c r="BK76" i="2" s="1"/>
  <c r="L12" i="10"/>
  <c r="BD10" i="2" s="1"/>
  <c r="L26" i="7"/>
  <c r="AB24" i="2" s="1"/>
  <c r="L37" i="6"/>
  <c r="U35" i="2" s="1"/>
  <c r="L44" i="7"/>
  <c r="AB42" i="2" s="1"/>
  <c r="L33" i="11"/>
  <c r="AI31" i="2" s="1"/>
  <c r="L87" i="9"/>
  <c r="AP85" i="2" s="1"/>
  <c r="L98" i="8"/>
  <c r="AW96" i="2" s="1"/>
  <c r="L85" i="10"/>
  <c r="BD83" i="2" s="1"/>
  <c r="L16" i="6"/>
  <c r="U14" i="2" s="1"/>
  <c r="L85" i="6"/>
  <c r="U83" i="2" s="1"/>
  <c r="L19" i="7"/>
  <c r="AB17" i="2" s="1"/>
  <c r="L101" i="11"/>
  <c r="AI99" i="2" s="1"/>
  <c r="L84" i="9"/>
  <c r="AP82" i="2" s="1"/>
  <c r="L20" i="8"/>
  <c r="AW18" i="2" s="1"/>
  <c r="L99" i="12"/>
  <c r="BK97" i="2" s="1"/>
  <c r="L40" i="11"/>
  <c r="AI38" i="2" s="1"/>
  <c r="L75" i="11"/>
  <c r="AI73" i="2" s="1"/>
  <c r="L23" i="9"/>
  <c r="AP21" i="2" s="1"/>
  <c r="L59" i="9"/>
  <c r="AP57" i="2" s="1"/>
  <c r="L93" i="8"/>
  <c r="AW91" i="2" s="1"/>
  <c r="L25" i="10"/>
  <c r="BD23" i="2" s="1"/>
  <c r="L98" i="10"/>
  <c r="BD96" i="2" s="1"/>
  <c r="L9" i="12"/>
  <c r="BK7" i="2" s="1"/>
  <c r="L36" i="11"/>
  <c r="AI34" i="2" s="1"/>
  <c r="L77" i="11"/>
  <c r="AI75" i="2" s="1"/>
  <c r="L54" i="9"/>
  <c r="AP52" i="2" s="1"/>
  <c r="L33" i="8"/>
  <c r="AW31" i="2" s="1"/>
  <c r="L49" i="8"/>
  <c r="AW47" i="2" s="1"/>
  <c r="L14" i="10"/>
  <c r="BD12" i="2" s="1"/>
  <c r="L47" i="12"/>
  <c r="BK45" i="2" s="1"/>
  <c r="L28" i="12"/>
  <c r="BK26" i="2" s="1"/>
  <c r="L49" i="9"/>
  <c r="AP47" i="2" s="1"/>
  <c r="L102" i="8"/>
  <c r="AW100" i="2" s="1"/>
  <c r="L101" i="10"/>
  <c r="BD99" i="2" s="1"/>
  <c r="L63" i="12"/>
  <c r="BK61" i="2" s="1"/>
  <c r="L63" i="6"/>
  <c r="U61" i="2" s="1"/>
  <c r="L45" i="7"/>
  <c r="AB43" i="2" s="1"/>
  <c r="L66" i="7"/>
  <c r="AB64" i="2" s="1"/>
  <c r="L86" i="9"/>
  <c r="AP84" i="2" s="1"/>
  <c r="L86" i="8"/>
  <c r="AW84" i="2" s="1"/>
  <c r="L95" i="10"/>
  <c r="BD93" i="2" s="1"/>
  <c r="L11" i="7"/>
  <c r="AB9" i="2" s="1"/>
  <c r="L25" i="11"/>
  <c r="AI23" i="2" s="1"/>
  <c r="L13" i="9"/>
  <c r="AP11" i="2" s="1"/>
  <c r="L99" i="9"/>
  <c r="AP97" i="2" s="1"/>
  <c r="L59" i="8"/>
  <c r="AW57" i="2" s="1"/>
  <c r="L76" i="10"/>
  <c r="BD74" i="2" s="1"/>
  <c r="L61" i="10"/>
  <c r="BD59" i="2" s="1"/>
  <c r="L100" i="12"/>
  <c r="BK98" i="2" s="1"/>
  <c r="L49" i="11"/>
  <c r="AI47" i="2" s="1"/>
  <c r="L97" i="11"/>
  <c r="AI95" i="2" s="1"/>
  <c r="L85" i="9"/>
  <c r="AP83" i="2" s="1"/>
  <c r="L53" i="9"/>
  <c r="AP51" i="2" s="1"/>
  <c r="L82" i="8"/>
  <c r="AW80" i="2" s="1"/>
  <c r="L70" i="10"/>
  <c r="BD68" i="2" s="1"/>
  <c r="L57" i="10"/>
  <c r="BD55" i="2" s="1"/>
  <c r="L91" i="12"/>
  <c r="BK89" i="2" s="1"/>
  <c r="L81" i="11"/>
  <c r="AI79" i="2" s="1"/>
  <c r="L8" i="10"/>
  <c r="BD6" i="2" s="1"/>
  <c r="L91" i="6"/>
  <c r="U89" i="2" s="1"/>
  <c r="L42" i="6"/>
  <c r="U40" i="2" s="1"/>
  <c r="L39" i="7"/>
  <c r="AB37" i="2" s="1"/>
  <c r="L46" i="11"/>
  <c r="AI44" i="2" s="1"/>
  <c r="L44" i="9"/>
  <c r="AP42" i="2" s="1"/>
  <c r="L37" i="8"/>
  <c r="AW35" i="2" s="1"/>
  <c r="L98" i="12"/>
  <c r="BK96" i="2" s="1"/>
  <c r="L41" i="6"/>
  <c r="U39" i="2" s="1"/>
  <c r="L64" i="6"/>
  <c r="U62" i="2" s="1"/>
  <c r="L62" i="7"/>
  <c r="AB60" i="2" s="1"/>
  <c r="L63" i="11"/>
  <c r="AI61" i="2" s="1"/>
  <c r="L63" i="9"/>
  <c r="AP61" i="2" s="1"/>
  <c r="L50" i="8"/>
  <c r="AW48" i="2" s="1"/>
  <c r="L49" i="12"/>
  <c r="BK47" i="2" s="1"/>
  <c r="L95" i="11"/>
  <c r="AI93" i="2" s="1"/>
  <c r="L52" i="11"/>
  <c r="AI50" i="2" s="1"/>
  <c r="L8" i="9"/>
  <c r="AP6" i="2" s="1"/>
  <c r="L81" i="8"/>
  <c r="AW79" i="2" s="1"/>
  <c r="L29" i="8"/>
  <c r="AW27" i="2" s="1"/>
  <c r="L80" i="10"/>
  <c r="BD78" i="2" s="1"/>
  <c r="L102" i="12"/>
  <c r="BK100" i="2" s="1"/>
  <c r="L56" i="12"/>
  <c r="BK54" i="2" s="1"/>
  <c r="L67" i="11"/>
  <c r="AI65" i="2" s="1"/>
  <c r="L56" i="11"/>
  <c r="AI54" i="2" s="1"/>
  <c r="L96" i="9"/>
  <c r="AP94" i="2" s="1"/>
  <c r="L84" i="8"/>
  <c r="AW82" i="2" s="1"/>
  <c r="L79" i="8"/>
  <c r="AW77" i="2" s="1"/>
  <c r="L28" i="10"/>
  <c r="BD26" i="2" s="1"/>
  <c r="L16" i="12"/>
  <c r="BK14" i="2" s="1"/>
  <c r="L19" i="12"/>
  <c r="BK17" i="2" s="1"/>
  <c r="L9" i="6"/>
  <c r="U7" i="2" s="1"/>
  <c r="L90" i="6"/>
  <c r="U88" i="2" s="1"/>
  <c r="L63" i="7"/>
  <c r="AB61" i="2" s="1"/>
  <c r="L89" i="11"/>
  <c r="AI87" i="2" s="1"/>
  <c r="L58" i="9"/>
  <c r="AP56" i="2" s="1"/>
  <c r="L97" i="10"/>
  <c r="BD95" i="2" s="1"/>
  <c r="L67" i="12"/>
  <c r="BK65" i="2" s="1"/>
  <c r="L100" i="6"/>
  <c r="U98" i="2" s="1"/>
  <c r="L77" i="7"/>
  <c r="AB75" i="2" s="1"/>
  <c r="L9" i="7"/>
  <c r="AB7" i="2" s="1"/>
  <c r="L10" i="11"/>
  <c r="AI8" i="2" s="1"/>
  <c r="L25" i="8"/>
  <c r="AW23" i="2" s="1"/>
  <c r="L41" i="10"/>
  <c r="BD39" i="2" s="1"/>
  <c r="L12" i="12"/>
  <c r="BK10" i="2" s="1"/>
  <c r="L31" i="11"/>
  <c r="AI29" i="2" s="1"/>
  <c r="L30" i="11"/>
  <c r="AI28" i="2" s="1"/>
  <c r="L35" i="9"/>
  <c r="AP33" i="2" s="1"/>
  <c r="L35" i="8"/>
  <c r="AW33" i="2" s="1"/>
  <c r="L96" i="8"/>
  <c r="AW94" i="2" s="1"/>
  <c r="L13" i="10"/>
  <c r="BD11" i="2" s="1"/>
  <c r="L26" i="12"/>
  <c r="BK24" i="2" s="1"/>
  <c r="L13" i="12"/>
  <c r="BK11" i="2" s="1"/>
  <c r="L87" i="11"/>
  <c r="AI85" i="2" s="1"/>
  <c r="L56" i="9"/>
  <c r="AP54" i="2" s="1"/>
  <c r="L10" i="9"/>
  <c r="AP8" i="2" s="1"/>
  <c r="L48" i="8"/>
  <c r="AW46" i="2" s="1"/>
  <c r="L77" i="10"/>
  <c r="BD75" i="2" s="1"/>
  <c r="L87" i="10"/>
  <c r="BD85" i="2" s="1"/>
  <c r="L75" i="12"/>
  <c r="BK73" i="2" s="1"/>
  <c r="L58" i="12"/>
  <c r="BK5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<sst xmlns="http://schemas.openxmlformats.org/spreadsheetml/2006/main" count="265" uniqueCount="107">
  <si>
    <t>S/N</t>
  </si>
  <si>
    <t>CLASS TEACHER'S REMARKS</t>
  </si>
  <si>
    <t>OVERALL 
POSITION</t>
  </si>
  <si>
    <t>ENTER PUPILS NAME (MAX 99)</t>
  </si>
  <si>
    <t>STUDENTS NAME</t>
  </si>
  <si>
    <t>TEST 1</t>
  </si>
  <si>
    <t>TEST 2</t>
  </si>
  <si>
    <t>PROJECT</t>
  </si>
  <si>
    <t>TASKS</t>
  </si>
  <si>
    <t>GROUP
WORK</t>
  </si>
  <si>
    <t>SUB
TOTAL
(100)</t>
  </si>
  <si>
    <t>NAME OF
PUPILS</t>
  </si>
  <si>
    <t>TERM EXAM</t>
  </si>
  <si>
    <t>SUBJECT
POSITIONS</t>
  </si>
  <si>
    <t>50% OF
SUB
TOTAL
(A)</t>
  </si>
  <si>
    <t>50% of
TERM
EXAM
(B)</t>
  </si>
  <si>
    <t>OVER
ALL
TOTAL
(A+B)
(100%)</t>
  </si>
  <si>
    <t>FIRST</t>
  </si>
  <si>
    <t>SECOND</t>
  </si>
  <si>
    <t>THIRD</t>
  </si>
  <si>
    <t>TOTAL
SCORE</t>
  </si>
  <si>
    <t>OWOP</t>
  </si>
  <si>
    <t>RME</t>
  </si>
  <si>
    <t>CLASS
SCORE</t>
  </si>
  <si>
    <t>TOTAL SCORE</t>
  </si>
  <si>
    <t>GRADE</t>
  </si>
  <si>
    <t>POS.</t>
  </si>
  <si>
    <t>REMARK</t>
  </si>
  <si>
    <t>EXAM
SCORE</t>
  </si>
  <si>
    <t>CLASS SCORE</t>
  </si>
  <si>
    <t>EXAM SCORE</t>
  </si>
  <si>
    <t>SCIENCE</t>
  </si>
  <si>
    <t>MATHS</t>
  </si>
  <si>
    <t>ENGLISH</t>
  </si>
  <si>
    <t>C. ARTS</t>
  </si>
  <si>
    <t>GH. LANG</t>
  </si>
  <si>
    <t>HISTORY</t>
  </si>
  <si>
    <t>CLASS</t>
  </si>
  <si>
    <t>TERM</t>
  </si>
  <si>
    <t>REOPEN DATE</t>
  </si>
  <si>
    <t>INTEREST</t>
  </si>
  <si>
    <t>CLASS SIZE</t>
  </si>
  <si>
    <t>SCHOOL NAME</t>
  </si>
  <si>
    <t>T. ATT</t>
  </si>
  <si>
    <t>ATTENDANCE</t>
  </si>
  <si>
    <t>PROMOTED TO</t>
  </si>
  <si>
    <t>CLASSES</t>
  </si>
  <si>
    <t>TERMS</t>
  </si>
  <si>
    <t>PRMT</t>
  </si>
  <si>
    <t>-----</t>
  </si>
  <si>
    <t>VACATION DATE</t>
  </si>
  <si>
    <t>PUPILS</t>
  </si>
  <si>
    <t>REMARKS</t>
  </si>
  <si>
    <t>Average performance. Aim for improvement.</t>
  </si>
  <si>
    <t>Good work, but strive for even better.</t>
  </si>
  <si>
    <t>Excellent performance! Keep it up!</t>
  </si>
  <si>
    <t>Well done! Keep up the good work.</t>
  </si>
  <si>
    <t>Average performance. Room for improvement.</t>
  </si>
  <si>
    <t>Outstanding performance! Keep working hard!</t>
  </si>
  <si>
    <t>Making progress! Keep it up.</t>
  </si>
  <si>
    <t>Keep trying! You'll improve.</t>
  </si>
  <si>
    <t>Work harder. You can do it!</t>
  </si>
  <si>
    <t>Extra help  is needed at home.</t>
  </si>
  <si>
    <t>ATTENDENCE</t>
  </si>
  <si>
    <t>RE-OPEN DATE</t>
  </si>
  <si>
    <t>SCHOOL</t>
  </si>
  <si>
    <t>GRADING SYSTEM</t>
  </si>
  <si>
    <t>RECORDED DATA INFO</t>
  </si>
  <si>
    <t>OVERALL SCORES AND THEIR REMARK</t>
  </si>
  <si>
    <t>0-34</t>
  </si>
  <si>
    <t>35-39</t>
  </si>
  <si>
    <t>40-44</t>
  </si>
  <si>
    <t>45-49</t>
  </si>
  <si>
    <t>50-54</t>
  </si>
  <si>
    <t>55-59</t>
  </si>
  <si>
    <t>60-59</t>
  </si>
  <si>
    <t>70-79</t>
  </si>
  <si>
    <t>80-89</t>
  </si>
  <si>
    <t>90-100</t>
  </si>
  <si>
    <t xml:space="preserve">SCORE </t>
  </si>
  <si>
    <t>CLASS TEACHER'S REMARK</t>
  </si>
  <si>
    <t>A</t>
  </si>
  <si>
    <t>B</t>
  </si>
  <si>
    <t>C</t>
  </si>
  <si>
    <t>D</t>
  </si>
  <si>
    <t>E</t>
  </si>
  <si>
    <t>F</t>
  </si>
  <si>
    <t>80-100</t>
  </si>
  <si>
    <t>60-69</t>
  </si>
  <si>
    <t>45-59</t>
  </si>
  <si>
    <t>35-44</t>
  </si>
  <si>
    <t>34-0</t>
  </si>
  <si>
    <t>EXCELLENT</t>
  </si>
  <si>
    <t>VERY GOOD</t>
  </si>
  <si>
    <t>GOOD</t>
  </si>
  <si>
    <t>CREDIT</t>
  </si>
  <si>
    <t>PASS</t>
  </si>
  <si>
    <t>FAIL</t>
  </si>
  <si>
    <t>SCORE (%)</t>
  </si>
  <si>
    <t>AVERAGE
SCORE</t>
  </si>
  <si>
    <t>PASS MARK FOR
TOTAL SCORE (%)</t>
  </si>
  <si>
    <t>TEXT TO SHOW ON PROMOTED FIELD IF STUDENT DID NOT MEET PASS MARK</t>
  </si>
  <si>
    <t>----------</t>
  </si>
  <si>
    <t>COMPUTING</t>
  </si>
  <si>
    <t>BASIC 4</t>
  </si>
  <si>
    <t>BASIC 5</t>
  </si>
  <si>
    <t>BASIC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</si>
</sst>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]d\ mmm\ yyyy;@" x16r2:formatCode16="[$-en-GH,1]d\ mmm\ yyyy;@"/>
    <numFmt numFmtId="166" formatCode="[$-F800]dddd\,\ mmmm\ dd\,\ yyyy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2"/>
      <name val="Calibri"/>
      <family val="2"/>
      <scheme val="minor"/>
    </font>
    <font>
      <sz val="12"/>
      <color theme="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ourier New"/>
      <family val="3"/>
    </font>
    <font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4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9" fontId="28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95">
    <xf numFmtId="0" fontId="0" fillId="0" borderId="0" xfId="0"/>
    <xf numFmtId="0" fontId="1" fillId="2" borderId="0" xfId="0" applyFont="1" applyFill="1"/>
    <xf numFmtId="0" fontId="3" fillId="2" borderId="0" xfId="0" applyFont="1" applyFill="1"/>
    <xf numFmtId="0" fontId="4" fillId="4" borderId="1" xfId="0" applyNumberFormat="1" applyFont="1" applyFill="1" applyBorder="1" applyAlignment="1">
      <alignment horizontal="center"/>
    </xf>
    <xf numFmtId="0" fontId="4" fillId="2" borderId="0" xfId="0" applyNumberFormat="1" applyFont="1" applyFill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/>
    </xf>
    <xf numFmtId="49" fontId="4" fillId="2" borderId="0" xfId="0" applyNumberFormat="1" applyFont="1" applyFill="1"/>
    <xf numFmtId="0" fontId="12" fillId="0" borderId="1" xfId="0" applyFont="1" applyBorder="1" applyAlignment="1">
      <alignment horizontal="center" vertical="center" textRotation="90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 textRotation="90" wrapText="1"/>
    </xf>
    <xf numFmtId="2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7" borderId="5" xfId="0" applyFont="1" applyFill="1" applyBorder="1" applyAlignment="1" applyProtection="1">
      <alignment horizontal="right"/>
    </xf>
    <xf numFmtId="0" fontId="17" fillId="0" borderId="1" xfId="0" applyFont="1" applyBorder="1" applyAlignment="1" applyProtection="1">
      <alignment horizontal="right"/>
    </xf>
    <xf numFmtId="0" fontId="17" fillId="0" borderId="0" xfId="0" applyFont="1" applyProtection="1"/>
    <xf numFmtId="0" fontId="12" fillId="0" borderId="1" xfId="0" applyFont="1" applyBorder="1" applyAlignment="1">
      <alignment horizontal="center" vertical="center" textRotation="90" wrapText="1"/>
    </xf>
    <xf numFmtId="2" fontId="5" fillId="0" borderId="1" xfId="0" applyNumberFormat="1" applyFont="1" applyBorder="1" applyAlignment="1">
      <alignment horizontal="center" vertical="center"/>
    </xf>
    <xf numFmtId="0" fontId="16" fillId="0" borderId="0" xfId="0" applyFont="1"/>
    <xf numFmtId="0" fontId="16" fillId="0" borderId="1" xfId="0" applyFont="1" applyBorder="1" applyAlignment="1">
      <alignment horizontal="center" vertical="center"/>
    </xf>
    <xf numFmtId="0" fontId="1" fillId="2" borderId="0" xfId="0" applyFont="1" applyFill="1" applyProtection="1"/>
    <xf numFmtId="0" fontId="4" fillId="2" borderId="0" xfId="0" applyNumberFormat="1" applyFont="1" applyFill="1" applyAlignment="1" applyProtection="1">
      <alignment horizontal="center"/>
    </xf>
    <xf numFmtId="0" fontId="4" fillId="3" borderId="1" xfId="0" applyNumberFormat="1" applyFont="1" applyFill="1" applyBorder="1" applyAlignment="1" applyProtection="1">
      <alignment horizontal="center"/>
    </xf>
    <xf numFmtId="0" fontId="4" fillId="4" borderId="1" xfId="0" applyNumberFormat="1" applyFont="1" applyFill="1" applyBorder="1" applyAlignment="1" applyProtection="1">
      <alignment horizontal="center"/>
    </xf>
    <xf numFmtId="0" fontId="1" fillId="2" borderId="0" xfId="0" applyFont="1" applyFill="1" applyBorder="1" applyProtection="1"/>
    <xf numFmtId="0" fontId="4" fillId="4" borderId="2" xfId="0" applyNumberFormat="1" applyFont="1" applyFill="1" applyBorder="1" applyAlignment="1" applyProtection="1">
      <alignment horizontal="center"/>
    </xf>
    <xf numFmtId="49" fontId="4" fillId="4" borderId="1" xfId="0" applyNumberFormat="1" applyFont="1" applyFill="1" applyBorder="1" applyAlignment="1" applyProtection="1">
      <alignment horizontal="left" indent="2"/>
      <protection locked="0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/>
    <xf numFmtId="0" fontId="18" fillId="0" borderId="1" xfId="0" applyFont="1" applyBorder="1" applyAlignment="1">
      <alignment horizontal="center" vertical="center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15" fillId="2" borderId="0" xfId="0" applyFont="1" applyFill="1" applyBorder="1" applyAlignment="1" applyProtection="1">
      <alignment horizontal="left" indent="3"/>
    </xf>
    <xf numFmtId="0" fontId="1" fillId="2" borderId="0" xfId="0" applyFont="1" applyFill="1" applyBorder="1" applyAlignment="1" applyProtection="1">
      <alignment horizontal="left" indent="3"/>
    </xf>
    <xf numFmtId="0" fontId="1" fillId="2" borderId="0" xfId="0" applyFont="1" applyFill="1" applyBorder="1" applyAlignment="1" applyProtection="1">
      <alignment horizont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0" borderId="1" xfId="0" applyNumberFormat="1" applyFont="1" applyBorder="1" applyAlignment="1" applyProtection="1">
      <alignment horizontal="center" vertical="center"/>
    </xf>
    <xf numFmtId="0" fontId="2" fillId="8" borderId="2" xfId="0" applyFont="1" applyFill="1" applyBorder="1" applyAlignment="1" applyProtection="1">
      <alignment horizontal="center" vertical="center" wrapText="1"/>
    </xf>
    <xf numFmtId="0" fontId="2" fillId="8" borderId="1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/>
    </xf>
    <xf numFmtId="0" fontId="5" fillId="0" borderId="1" xfId="0" applyNumberFormat="1" applyFont="1" applyBorder="1" applyAlignment="1" applyProtection="1">
      <alignment horizontal="center" vertical="center"/>
    </xf>
    <xf numFmtId="0" fontId="20" fillId="0" borderId="1" xfId="0" applyFont="1" applyBorder="1" applyAlignment="1" applyProtection="1">
      <alignment horizontal="center" vertical="center" wrapText="1"/>
    </xf>
    <xf numFmtId="0" fontId="20" fillId="8" borderId="1" xfId="0" applyFont="1" applyFill="1" applyBorder="1" applyAlignment="1" applyProtection="1">
      <alignment horizontal="center" vertical="center" wrapText="1"/>
    </xf>
    <xf numFmtId="0" fontId="20" fillId="9" borderId="1" xfId="0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0" fillId="5" borderId="1" xfId="0" applyFill="1" applyBorder="1" applyAlignment="1" applyProtection="1">
      <alignment horizontal="center"/>
    </xf>
    <xf numFmtId="0" fontId="0" fillId="0" borderId="1" xfId="0" applyNumberFormat="1" applyBorder="1" applyProtection="1"/>
    <xf numFmtId="1" fontId="0" fillId="0" borderId="1" xfId="0" applyNumberFormat="1" applyBorder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</xf>
    <xf numFmtId="2" fontId="19" fillId="0" borderId="1" xfId="0" applyNumberFormat="1" applyFont="1" applyBorder="1" applyAlignment="1" applyProtection="1">
      <alignment horizontal="center" vertical="center"/>
    </xf>
    <xf numFmtId="2" fontId="0" fillId="8" borderId="1" xfId="0" applyNumberFormat="1" applyFill="1" applyBorder="1" applyAlignment="1" applyProtection="1">
      <alignment horizontal="center" vertical="center"/>
    </xf>
    <xf numFmtId="1" fontId="5" fillId="0" borderId="1" xfId="0" applyNumberFormat="1" applyFont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21" fillId="2" borderId="0" xfId="0" applyFont="1" applyFill="1" applyProtection="1"/>
    <xf numFmtId="0" fontId="21" fillId="2" borderId="0" xfId="0" applyFont="1" applyFill="1"/>
    <xf numFmtId="0" fontId="2" fillId="10" borderId="1" xfId="0" applyFont="1" applyFill="1" applyBorder="1" applyAlignment="1" applyProtection="1">
      <alignment horizontal="center" vertical="center" wrapText="1"/>
    </xf>
    <xf numFmtId="0" fontId="5" fillId="10" borderId="1" xfId="0" applyFont="1" applyFill="1" applyBorder="1" applyAlignment="1" applyProtection="1">
      <alignment horizontal="center" vertical="center" wrapText="1"/>
    </xf>
    <xf numFmtId="2" fontId="0" fillId="10" borderId="1" xfId="0" applyNumberFormat="1" applyFill="1" applyBorder="1" applyAlignment="1" applyProtection="1">
      <alignment horizontal="center" vertical="center"/>
    </xf>
    <xf numFmtId="0" fontId="0" fillId="10" borderId="1" xfId="0" applyFill="1" applyBorder="1" applyAlignment="1" applyProtection="1">
      <alignment horizontal="center" vertical="center"/>
    </xf>
    <xf numFmtId="14" fontId="1" fillId="2" borderId="0" xfId="0" quotePrefix="1" applyNumberFormat="1" applyFont="1" applyFill="1" applyBorder="1" applyAlignment="1" applyProtection="1">
      <alignment horizontal="center"/>
    </xf>
    <xf numFmtId="14" fontId="1" fillId="2" borderId="0" xfId="0" applyNumberFormat="1" applyFont="1" applyFill="1" applyBorder="1" applyAlignment="1" applyProtection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/>
    <xf numFmtId="165" fontId="0" fillId="0" borderId="0" xfId="0" applyNumberFormat="1" applyFont="1" applyBorder="1" applyAlignment="1">
      <alignment horizontal="center"/>
    </xf>
    <xf numFmtId="0" fontId="22" fillId="2" borderId="0" xfId="0" applyFont="1" applyFill="1" applyProtection="1"/>
    <xf numFmtId="0" fontId="23" fillId="2" borderId="0" xfId="0" applyFont="1" applyFill="1" applyProtection="1"/>
    <xf numFmtId="0" fontId="0" fillId="6" borderId="1" xfId="0" applyFill="1" applyBorder="1" applyProtection="1"/>
    <xf numFmtId="0" fontId="24" fillId="0" borderId="0" xfId="0" applyFont="1" applyBorder="1" applyAlignment="1">
      <alignment horizontal="center" vertical="center"/>
    </xf>
    <xf numFmtId="0" fontId="25" fillId="0" borderId="0" xfId="0" applyFont="1"/>
    <xf numFmtId="0" fontId="25" fillId="0" borderId="0" xfId="0" applyFont="1" applyBorder="1" applyAlignment="1">
      <alignment horizontal="center"/>
    </xf>
    <xf numFmtId="165" fontId="25" fillId="0" borderId="0" xfId="0" applyNumberFormat="1" applyFont="1" applyBorder="1" applyAlignment="1">
      <alignment horizontal="center"/>
    </xf>
    <xf numFmtId="0" fontId="27" fillId="0" borderId="0" xfId="0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wrapText="1"/>
    </xf>
    <xf numFmtId="0" fontId="8" fillId="0" borderId="1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6" fillId="17" borderId="1" xfId="0" applyFont="1" applyFill="1" applyBorder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0" fillId="18" borderId="1" xfId="0" applyFill="1" applyBorder="1" applyAlignment="1" applyProtection="1">
      <alignment horizontal="center" vertical="center"/>
      <protection locked="0"/>
    </xf>
    <xf numFmtId="0" fontId="0" fillId="18" borderId="1" xfId="0" applyFill="1" applyBorder="1" applyAlignment="1" applyProtection="1">
      <alignment horizontal="center" vertical="center"/>
    </xf>
    <xf numFmtId="0" fontId="0" fillId="17" borderId="7" xfId="0" applyFill="1" applyBorder="1" applyAlignment="1" applyProtection="1">
      <alignment horizontal="center" vertical="center"/>
    </xf>
    <xf numFmtId="0" fontId="8" fillId="17" borderId="7" xfId="0" applyFont="1" applyFill="1" applyBorder="1" applyProtection="1"/>
    <xf numFmtId="0" fontId="0" fillId="17" borderId="0" xfId="0" applyFill="1" applyAlignment="1" applyProtection="1">
      <alignment horizontal="center" vertical="center"/>
    </xf>
    <xf numFmtId="0" fontId="0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ont="1" applyFill="1" applyBorder="1" applyAlignment="1" applyProtection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4" fillId="2" borderId="0" xfId="0" applyFont="1" applyFill="1" applyAlignment="1" applyProtection="1">
      <alignment horizontal="center" vertical="center"/>
    </xf>
    <xf numFmtId="0" fontId="22" fillId="2" borderId="9" xfId="0" applyFont="1" applyFill="1" applyBorder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22" fillId="2" borderId="0" xfId="0" quotePrefix="1" applyFont="1" applyFill="1" applyAlignment="1" applyProtection="1">
      <alignment horizontal="center" vertical="center"/>
    </xf>
    <xf numFmtId="0" fontId="8" fillId="17" borderId="7" xfId="0" applyFont="1" applyFill="1" applyBorder="1" applyAlignment="1" applyProtection="1">
      <alignment horizontal="center" vertical="center"/>
      <protection locked="0"/>
    </xf>
    <xf numFmtId="0" fontId="0" fillId="17" borderId="0" xfId="0" applyFill="1" applyAlignment="1" applyProtection="1">
      <alignment horizontal="center" vertical="center"/>
      <protection locked="0"/>
    </xf>
    <xf numFmtId="0" fontId="24" fillId="0" borderId="0" xfId="0" applyNumberFormat="1" applyFont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/>
    </xf>
    <xf numFmtId="14" fontId="25" fillId="0" borderId="0" xfId="0" applyNumberFormat="1" applyFont="1" applyBorder="1" applyAlignment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0" xfId="0" quotePrefix="1" applyFont="1" applyFill="1" applyBorder="1" applyAlignment="1" applyProtection="1">
      <alignment horizontal="center" vertical="center"/>
      <protection locked="0"/>
    </xf>
    <xf numFmtId="0" fontId="1" fillId="2" borderId="0" xfId="0" quotePrefix="1" applyFont="1" applyFill="1" applyBorder="1" applyAlignment="1" applyProtection="1">
      <alignment horizontal="left" indent="5"/>
    </xf>
    <xf numFmtId="0" fontId="1" fillId="2" borderId="0" xfId="0" applyFont="1" applyFill="1" applyBorder="1" applyAlignment="1" applyProtection="1">
      <alignment horizontal="left" indent="5"/>
    </xf>
    <xf numFmtId="0" fontId="1" fillId="2" borderId="0" xfId="0" quotePrefix="1" applyFont="1" applyFill="1" applyBorder="1" applyAlignment="1" applyProtection="1">
      <alignment horizontal="left" indent="5"/>
      <protection locked="0"/>
    </xf>
    <xf numFmtId="0" fontId="1" fillId="2" borderId="0" xfId="0" applyFont="1" applyFill="1" applyBorder="1" applyAlignment="1" applyProtection="1">
      <alignment horizontal="left" indent="5"/>
      <protection locked="0"/>
    </xf>
    <xf numFmtId="0" fontId="1" fillId="2" borderId="0" xfId="0" applyFont="1" applyFill="1" applyBorder="1" applyAlignment="1" applyProtection="1">
      <alignment horizontal="left" indent="1"/>
      <protection locked="0"/>
    </xf>
    <xf numFmtId="14" fontId="1" fillId="2" borderId="0" xfId="0" quotePrefix="1" applyNumberFormat="1" applyFont="1" applyFill="1" applyBorder="1" applyAlignment="1" applyProtection="1">
      <alignment horizontal="left" indent="1"/>
      <protection locked="0"/>
    </xf>
    <xf numFmtId="14" fontId="1" fillId="2" borderId="0" xfId="0" quotePrefix="1" applyNumberFormat="1" applyFont="1" applyFill="1" applyBorder="1" applyAlignment="1" applyProtection="1">
      <alignment horizontal="left" indent="5"/>
      <protection locked="0"/>
    </xf>
    <xf numFmtId="14" fontId="1" fillId="2" borderId="0" xfId="0" applyNumberFormat="1" applyFont="1" applyFill="1" applyBorder="1" applyAlignment="1" applyProtection="1">
      <alignment horizontal="left" indent="5"/>
      <protection locked="0"/>
    </xf>
    <xf numFmtId="0" fontId="13" fillId="0" borderId="4" xfId="0" applyFont="1" applyBorder="1" applyAlignment="1" applyProtection="1">
      <alignment horizontal="center" vertical="center" textRotation="90" wrapText="1"/>
    </xf>
    <xf numFmtId="0" fontId="13" fillId="0" borderId="6" xfId="0" applyFont="1" applyBorder="1" applyAlignment="1" applyProtection="1">
      <alignment horizontal="center" vertical="center" textRotation="90" wrapText="1"/>
    </xf>
    <xf numFmtId="0" fontId="13" fillId="0" borderId="3" xfId="0" applyFont="1" applyBorder="1" applyAlignment="1" applyProtection="1">
      <alignment horizontal="center" vertical="center" textRotation="90" wrapText="1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/>
    </xf>
    <xf numFmtId="0" fontId="16" fillId="7" borderId="5" xfId="0" applyFont="1" applyFill="1" applyBorder="1" applyAlignment="1">
      <alignment horizontal="center"/>
    </xf>
    <xf numFmtId="0" fontId="5" fillId="7" borderId="5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textRotation="90" wrapText="1"/>
    </xf>
    <xf numFmtId="0" fontId="35" fillId="0" borderId="7" xfId="2" applyBorder="1" applyAlignment="1" applyProtection="1">
      <alignment horizontal="center" vertical="center" wrapText="1"/>
      <protection locked="0"/>
    </xf>
    <xf numFmtId="0" fontId="35" fillId="0" borderId="8" xfId="2" applyBorder="1" applyAlignment="1" applyProtection="1">
      <alignment horizontal="center" vertical="center" wrapText="1"/>
      <protection locked="0"/>
    </xf>
    <xf numFmtId="0" fontId="35" fillId="0" borderId="2" xfId="2" applyBorder="1" applyAlignment="1" applyProtection="1">
      <alignment horizontal="center" vertical="center" wrapText="1"/>
      <protection locked="0"/>
    </xf>
    <xf numFmtId="0" fontId="12" fillId="17" borderId="4" xfId="0" applyFont="1" applyFill="1" applyBorder="1" applyAlignment="1">
      <alignment horizontal="center" vertical="center" wrapText="1"/>
    </xf>
    <xf numFmtId="0" fontId="12" fillId="17" borderId="3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 applyProtection="1">
      <alignment horizontal="center" vertical="center"/>
    </xf>
    <xf numFmtId="0" fontId="6" fillId="6" borderId="3" xfId="0" applyFont="1" applyFill="1" applyBorder="1" applyAlignment="1" applyProtection="1">
      <alignment horizontal="center" vertical="center"/>
    </xf>
    <xf numFmtId="0" fontId="2" fillId="18" borderId="4" xfId="0" applyFont="1" applyFill="1" applyBorder="1" applyAlignment="1" applyProtection="1">
      <alignment horizontal="center" vertical="center" wrapText="1"/>
    </xf>
    <xf numFmtId="0" fontId="2" fillId="18" borderId="3" xfId="0" applyFont="1" applyFill="1" applyBorder="1" applyAlignment="1" applyProtection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29" fillId="14" borderId="7" xfId="0" applyFont="1" applyFill="1" applyBorder="1" applyAlignment="1">
      <alignment horizontal="center" vertical="center"/>
    </xf>
    <xf numFmtId="0" fontId="29" fillId="14" borderId="8" xfId="0" applyFont="1" applyFill="1" applyBorder="1" applyAlignment="1">
      <alignment horizontal="center" vertical="center"/>
    </xf>
    <xf numFmtId="0" fontId="29" fillId="14" borderId="2" xfId="0" applyFont="1" applyFill="1" applyBorder="1" applyAlignment="1">
      <alignment horizontal="center" vertical="center"/>
    </xf>
    <xf numFmtId="0" fontId="24" fillId="15" borderId="7" xfId="0" applyFont="1" applyFill="1" applyBorder="1" applyAlignment="1">
      <alignment horizontal="center" vertical="center"/>
    </xf>
    <xf numFmtId="0" fontId="24" fillId="15" borderId="8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/>
    </xf>
    <xf numFmtId="0" fontId="0" fillId="0" borderId="7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2" xfId="0" applyBorder="1" applyAlignment="1">
      <alignment horizontal="left" indent="1"/>
    </xf>
    <xf numFmtId="0" fontId="30" fillId="12" borderId="7" xfId="0" applyFont="1" applyFill="1" applyBorder="1" applyAlignment="1">
      <alignment horizontal="center"/>
    </xf>
    <xf numFmtId="0" fontId="30" fillId="12" borderId="2" xfId="0" applyFont="1" applyFill="1" applyBorder="1" applyAlignment="1">
      <alignment horizontal="center"/>
    </xf>
    <xf numFmtId="0" fontId="5" fillId="11" borderId="7" xfId="0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8" fillId="0" borderId="7" xfId="0" applyFont="1" applyBorder="1" applyAlignment="1">
      <alignment horizontal="left" indent="1"/>
    </xf>
    <xf numFmtId="0" fontId="8" fillId="0" borderId="8" xfId="0" applyFont="1" applyBorder="1" applyAlignment="1">
      <alignment horizontal="left" indent="1"/>
    </xf>
    <xf numFmtId="0" fontId="8" fillId="0" borderId="2" xfId="0" applyFont="1" applyBorder="1" applyAlignment="1">
      <alignment horizontal="left" indent="1"/>
    </xf>
    <xf numFmtId="166" fontId="0" fillId="0" borderId="7" xfId="0" applyNumberFormat="1" applyBorder="1" applyAlignment="1">
      <alignment horizontal="left" indent="1"/>
    </xf>
    <xf numFmtId="166" fontId="0" fillId="0" borderId="8" xfId="0" applyNumberFormat="1" applyBorder="1" applyAlignment="1">
      <alignment horizontal="left" indent="1"/>
    </xf>
    <xf numFmtId="166" fontId="0" fillId="0" borderId="2" xfId="0" applyNumberFormat="1" applyBorder="1" applyAlignment="1">
      <alignment horizontal="left" indent="1"/>
    </xf>
    <xf numFmtId="0" fontId="2" fillId="16" borderId="7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8" fillId="20" borderId="10" xfId="0" quotePrefix="1" applyFont="1" applyFill="1" applyBorder="1" applyAlignment="1">
      <alignment horizontal="center" vertical="center"/>
    </xf>
    <xf numFmtId="0" fontId="8" fillId="20" borderId="12" xfId="0" applyFont="1" applyFill="1" applyBorder="1" applyAlignment="1">
      <alignment horizontal="center" vertical="center"/>
    </xf>
    <xf numFmtId="0" fontId="8" fillId="20" borderId="13" xfId="0" applyFont="1" applyFill="1" applyBorder="1" applyAlignment="1">
      <alignment horizontal="center" vertical="center"/>
    </xf>
    <xf numFmtId="0" fontId="8" fillId="20" borderId="14" xfId="0" applyFont="1" applyFill="1" applyBorder="1" applyAlignment="1">
      <alignment horizontal="center" vertical="center"/>
    </xf>
    <xf numFmtId="0" fontId="8" fillId="19" borderId="10" xfId="0" applyFont="1" applyFill="1" applyBorder="1" applyAlignment="1">
      <alignment horizontal="center" vertical="center"/>
    </xf>
    <xf numFmtId="0" fontId="8" fillId="19" borderId="11" xfId="0" applyFont="1" applyFill="1" applyBorder="1" applyAlignment="1">
      <alignment horizontal="center" vertical="center"/>
    </xf>
    <xf numFmtId="0" fontId="8" fillId="19" borderId="12" xfId="0" applyFont="1" applyFill="1" applyBorder="1" applyAlignment="1">
      <alignment horizontal="center" vertical="center"/>
    </xf>
    <xf numFmtId="0" fontId="8" fillId="19" borderId="13" xfId="0" applyFont="1" applyFill="1" applyBorder="1" applyAlignment="1">
      <alignment horizontal="center" vertical="center"/>
    </xf>
    <xf numFmtId="0" fontId="8" fillId="19" borderId="5" xfId="0" applyFont="1" applyFill="1" applyBorder="1" applyAlignment="1">
      <alignment horizontal="center" vertical="center"/>
    </xf>
    <xf numFmtId="0" fontId="8" fillId="19" borderId="14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CCFF"/>
      <color rgb="FF9999FF"/>
      <color rgb="FFFFFF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22" fmlaRange="StudentNames" noThreeD="1" sel="1" val="0"/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hyperlink" Target="#OWOP!A1"/><Relationship Id="rId2" Type="http://schemas.openxmlformats.org/officeDocument/2006/relationships/hyperlink" Target="#SCIENCE!A1"/><Relationship Id="rId1" Type="http://schemas.openxmlformats.org/officeDocument/2006/relationships/hyperlink" Target="#MATHS!A1"/><Relationship Id="rId6" Type="http://schemas.openxmlformats.org/officeDocument/2006/relationships/hyperlink" Target="#'GH LANG'!A1"/><Relationship Id="rId5" Type="http://schemas.openxmlformats.org/officeDocument/2006/relationships/hyperlink" Target="#ENGLISH!A1"/><Relationship Id="rId4" Type="http://schemas.openxmlformats.org/officeDocument/2006/relationships/hyperlink" Target="#'C ARTS'!A1"/></Relationships>
</file>

<file path=xl/diagrams/_rels/data2.xml.rels><?xml version="1.0" encoding="UTF-8" standalone="yes"?>
<Relationships xmlns="http://schemas.openxmlformats.org/package/2006/relationships"><Relationship Id="rId3" Type="http://schemas.openxmlformats.org/officeDocument/2006/relationships/hyperlink" Target="#FRENCH!A1"/><Relationship Id="rId2" Type="http://schemas.openxmlformats.org/officeDocument/2006/relationships/hyperlink" Target="#RME!A1"/><Relationship Id="rId1" Type="http://schemas.openxmlformats.org/officeDocument/2006/relationships/hyperlink" Target="#COMPUTING!A1"/><Relationship Id="rId4" Type="http://schemas.openxmlformats.org/officeDocument/2006/relationships/hyperlink" Target="#HISTERY!A1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1">
  <dgm:title val=""/>
  <dgm:desc val=""/>
  <dgm:catLst>
    <dgm:cat type="colorful" pri="101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/>
    <dgm:txEffectClrLst/>
  </dgm:styleLbl>
  <dgm:styleLbl name="l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2">
        <a:alpha val="50000"/>
      </a:schemeClr>
      <a:schemeClr val="accent3">
        <a:alpha val="50000"/>
      </a:schemeClr>
      <a:schemeClr val="accent4">
        <a:alpha val="50000"/>
      </a:schemeClr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2">
        <a:tint val="50000"/>
      </a:schemeClr>
      <a:schemeClr val="accent3">
        <a:tint val="50000"/>
      </a:schemeClr>
      <a:schemeClr val="accent4">
        <a:tint val="50000"/>
      </a:schemeClr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/>
    <dgm:txEffectClrLst/>
  </dgm:styleLbl>
  <dgm:styleLbl name="f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1">
  <dgm:title val=""/>
  <dgm:desc val=""/>
  <dgm:catLst>
    <dgm:cat type="colorful" pri="101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/>
    <dgm:txEffectClrLst/>
  </dgm:styleLbl>
  <dgm:styleLbl name="l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2">
        <a:alpha val="50000"/>
      </a:schemeClr>
      <a:schemeClr val="accent3">
        <a:alpha val="50000"/>
      </a:schemeClr>
      <a:schemeClr val="accent4">
        <a:alpha val="50000"/>
      </a:schemeClr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2">
        <a:tint val="50000"/>
      </a:schemeClr>
      <a:schemeClr val="accent3">
        <a:tint val="50000"/>
      </a:schemeClr>
      <a:schemeClr val="accent4">
        <a:tint val="50000"/>
      </a:schemeClr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/>
    <dgm:txEffectClrLst/>
  </dgm:styleLbl>
  <dgm:styleLbl name="f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89224D6-5B35-4DAB-AC71-E0C2CAC42C82}" type="doc">
      <dgm:prSet loTypeId="urn:microsoft.com/office/officeart/2005/8/layout/rings+Icon" loCatId="officeonline" qsTypeId="urn:microsoft.com/office/officeart/2005/8/quickstyle/3d3" qsCatId="3D" csTypeId="urn:microsoft.com/office/officeart/2005/8/colors/colorful1" csCatId="colorful" phldr="1"/>
      <dgm:spPr/>
    </dgm:pt>
    <dgm:pt modelId="{B8A34F0C-C054-4289-869B-78B0F60E2F03}">
      <dgm:prSet phldrT="[Text]"/>
      <dgm:spPr/>
      <dgm:t>
        <a:bodyPr/>
        <a:lstStyle/>
        <a:p>
          <a:r>
            <a:rPr lang="en-US" b="1"/>
            <a:t>MATHS</a:t>
          </a:r>
          <a:endParaRPr lang="en-GH" b="1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C935EC6C-EFD8-4D04-B1BD-CC33924C2102}" type="parTrans" cxnId="{5AE9B5E5-981C-4008-8152-2B65F5746364}">
      <dgm:prSet/>
      <dgm:spPr/>
      <dgm:t>
        <a:bodyPr/>
        <a:lstStyle/>
        <a:p>
          <a:endParaRPr lang="en-GH"/>
        </a:p>
      </dgm:t>
    </dgm:pt>
    <dgm:pt modelId="{57205DB5-12FF-4E99-ADED-83B20864E148}" type="sibTrans" cxnId="{5AE9B5E5-981C-4008-8152-2B65F5746364}">
      <dgm:prSet/>
      <dgm:spPr/>
      <dgm:t>
        <a:bodyPr/>
        <a:lstStyle/>
        <a:p>
          <a:endParaRPr lang="en-GH"/>
        </a:p>
      </dgm:t>
    </dgm:pt>
    <dgm:pt modelId="{B2C98DE2-C269-4211-AF8E-84A8BBAE758A}">
      <dgm:prSet phldrT="[Text]"/>
      <dgm:spPr/>
      <dgm:t>
        <a:bodyPr/>
        <a:lstStyle/>
        <a:p>
          <a:r>
            <a:rPr lang="en-US" b="1"/>
            <a:t>SCIENCE</a:t>
          </a:r>
          <a:endParaRPr lang="en-GH" b="1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A39EF1A3-589F-4396-B810-3BC76CA48B31}" type="parTrans" cxnId="{CBDFD8B1-33B8-4A46-9FCD-8B0071630D69}">
      <dgm:prSet/>
      <dgm:spPr/>
      <dgm:t>
        <a:bodyPr/>
        <a:lstStyle/>
        <a:p>
          <a:endParaRPr lang="en-GH"/>
        </a:p>
      </dgm:t>
    </dgm:pt>
    <dgm:pt modelId="{D91B12FA-B23D-4F7B-B0C4-0A3EDAC3CE24}" type="sibTrans" cxnId="{CBDFD8B1-33B8-4A46-9FCD-8B0071630D69}">
      <dgm:prSet/>
      <dgm:spPr/>
      <dgm:t>
        <a:bodyPr/>
        <a:lstStyle/>
        <a:p>
          <a:endParaRPr lang="en-GH"/>
        </a:p>
      </dgm:t>
    </dgm:pt>
    <dgm:pt modelId="{76624769-B776-425C-BD17-EE0399C3605C}">
      <dgm:prSet phldrT="[Text]"/>
      <dgm:spPr/>
      <dgm:t>
        <a:bodyPr/>
        <a:lstStyle/>
        <a:p>
          <a:r>
            <a:rPr lang="en-US" b="1"/>
            <a:t>OWOP</a:t>
          </a:r>
          <a:endParaRPr lang="en-GH" b="1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BC7B943B-D54F-47D5-AC7D-BAD4018A068A}" type="parTrans" cxnId="{FFB80749-56F8-441C-BA61-467A10398DE3}">
      <dgm:prSet/>
      <dgm:spPr/>
      <dgm:t>
        <a:bodyPr/>
        <a:lstStyle/>
        <a:p>
          <a:endParaRPr lang="en-GH"/>
        </a:p>
      </dgm:t>
    </dgm:pt>
    <dgm:pt modelId="{B811FB7C-BF6F-4618-888C-6681349F9B8E}" type="sibTrans" cxnId="{FFB80749-56F8-441C-BA61-467A10398DE3}">
      <dgm:prSet/>
      <dgm:spPr/>
      <dgm:t>
        <a:bodyPr/>
        <a:lstStyle/>
        <a:p>
          <a:endParaRPr lang="en-GH"/>
        </a:p>
      </dgm:t>
    </dgm:pt>
    <dgm:pt modelId="{BB46F64B-D6E2-4297-9D15-01FB39B5F023}">
      <dgm:prSet phldrT="[Text]"/>
      <dgm:spPr/>
      <dgm:t>
        <a:bodyPr/>
        <a:lstStyle/>
        <a:p>
          <a:r>
            <a:rPr lang="en-US"/>
            <a:t>C. </a:t>
          </a:r>
          <a:r>
            <a:rPr lang="en-US" b="1"/>
            <a:t>ARTS</a:t>
          </a:r>
          <a:endParaRPr lang="en-GH" b="1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7AFC7D73-EEFE-4309-8613-008C4CB53F03}" type="sibTrans" cxnId="{B251686E-A103-4975-9A2D-AACEF8C812DF}">
      <dgm:prSet/>
      <dgm:spPr/>
      <dgm:t>
        <a:bodyPr/>
        <a:lstStyle/>
        <a:p>
          <a:endParaRPr lang="en-GH"/>
        </a:p>
      </dgm:t>
    </dgm:pt>
    <dgm:pt modelId="{08ACFE09-D2D3-4989-B218-FE592E270190}" type="parTrans" cxnId="{B251686E-A103-4975-9A2D-AACEF8C812DF}">
      <dgm:prSet/>
      <dgm:spPr/>
      <dgm:t>
        <a:bodyPr/>
        <a:lstStyle/>
        <a:p>
          <a:endParaRPr lang="en-GH"/>
        </a:p>
      </dgm:t>
    </dgm:pt>
    <dgm:pt modelId="{904223E5-53A6-4885-B822-CAF92D51E051}">
      <dgm:prSet phldrT="[Text]"/>
      <dgm:spPr/>
      <dgm:t>
        <a:bodyPr/>
        <a:lstStyle/>
        <a:p>
          <a:r>
            <a:rPr lang="en-US" b="1"/>
            <a:t>ENGLISH</a:t>
          </a:r>
          <a:endParaRPr lang="en-GH" b="1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9D7837DB-2CEB-42FE-8A75-FA9DC65BA20B}" type="sibTrans" cxnId="{CD041125-EC05-454D-AB64-D4D92651CE7B}">
      <dgm:prSet/>
      <dgm:spPr/>
      <dgm:t>
        <a:bodyPr/>
        <a:lstStyle/>
        <a:p>
          <a:endParaRPr lang="en-GH"/>
        </a:p>
      </dgm:t>
    </dgm:pt>
    <dgm:pt modelId="{350B2AD1-7298-4335-B638-37556D3DA183}" type="parTrans" cxnId="{CD041125-EC05-454D-AB64-D4D92651CE7B}">
      <dgm:prSet/>
      <dgm:spPr/>
      <dgm:t>
        <a:bodyPr/>
        <a:lstStyle/>
        <a:p>
          <a:endParaRPr lang="en-GH"/>
        </a:p>
      </dgm:t>
    </dgm:pt>
    <dgm:pt modelId="{97615AA8-0F21-438E-A227-CE5477590F6B}">
      <dgm:prSet phldrT="[Text]"/>
      <dgm:spPr/>
      <dgm:t>
        <a:bodyPr/>
        <a:lstStyle/>
        <a:p>
          <a:r>
            <a:rPr lang="en-US" b="1"/>
            <a:t>GH. LANG</a:t>
          </a:r>
          <a:endParaRPr lang="en-GH" b="1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5BA11CCC-99E8-440C-A26A-64F1BCFDC4A1}" type="parTrans" cxnId="{5C6AE553-A1FD-47E8-B7CD-32D48FC0CF8E}">
      <dgm:prSet/>
      <dgm:spPr/>
      <dgm:t>
        <a:bodyPr/>
        <a:lstStyle/>
        <a:p>
          <a:endParaRPr lang="en-GH"/>
        </a:p>
      </dgm:t>
    </dgm:pt>
    <dgm:pt modelId="{10D32671-8F16-48A5-9589-D38E7FCF40F0}" type="sibTrans" cxnId="{5C6AE553-A1FD-47E8-B7CD-32D48FC0CF8E}">
      <dgm:prSet/>
      <dgm:spPr/>
      <dgm:t>
        <a:bodyPr/>
        <a:lstStyle/>
        <a:p>
          <a:endParaRPr lang="en-GH"/>
        </a:p>
      </dgm:t>
    </dgm:pt>
    <dgm:pt modelId="{417E0AC7-E5D6-46CC-9D55-17F1119B103B}" type="pres">
      <dgm:prSet presAssocID="{D89224D6-5B35-4DAB-AC71-E0C2CAC42C82}" presName="Name0" presStyleCnt="0">
        <dgm:presLayoutVars>
          <dgm:chMax val="7"/>
          <dgm:dir/>
          <dgm:resizeHandles val="exact"/>
        </dgm:presLayoutVars>
      </dgm:prSet>
      <dgm:spPr/>
    </dgm:pt>
    <dgm:pt modelId="{84866497-F910-42EE-B409-C14D4544BE47}" type="pres">
      <dgm:prSet presAssocID="{D89224D6-5B35-4DAB-AC71-E0C2CAC42C82}" presName="ellipse1" presStyleLbl="vennNode1" presStyleIdx="0" presStyleCnt="6" custLinFactX="-3530" custLinFactNeighborX="-100000">
        <dgm:presLayoutVars>
          <dgm:bulletEnabled val="1"/>
        </dgm:presLayoutVars>
      </dgm:prSet>
      <dgm:spPr/>
    </dgm:pt>
    <dgm:pt modelId="{34813239-568E-4FFD-BB49-D8474F430235}" type="pres">
      <dgm:prSet presAssocID="{D89224D6-5B35-4DAB-AC71-E0C2CAC42C82}" presName="ellipse2" presStyleLbl="vennNode1" presStyleIdx="1" presStyleCnt="6" custLinFactNeighborX="-62709" custLinFactNeighborY="-65779">
        <dgm:presLayoutVars>
          <dgm:bulletEnabled val="1"/>
        </dgm:presLayoutVars>
      </dgm:prSet>
      <dgm:spPr/>
    </dgm:pt>
    <dgm:pt modelId="{8138286F-18D3-4FAF-A751-AC42661D66A3}" type="pres">
      <dgm:prSet presAssocID="{D89224D6-5B35-4DAB-AC71-E0C2CAC42C82}" presName="ellipse3" presStyleLbl="vennNode1" presStyleIdx="2" presStyleCnt="6" custLinFactNeighborX="-17728" custLinFactNeighborY="-1477">
        <dgm:presLayoutVars>
          <dgm:bulletEnabled val="1"/>
        </dgm:presLayoutVars>
      </dgm:prSet>
      <dgm:spPr/>
    </dgm:pt>
    <dgm:pt modelId="{89112705-16BF-4970-AB63-8532E11F8052}" type="pres">
      <dgm:prSet presAssocID="{D89224D6-5B35-4DAB-AC71-E0C2CAC42C82}" presName="ellipse4" presStyleLbl="vennNode1" presStyleIdx="3" presStyleCnt="6" custLinFactNeighborX="24968" custLinFactNeighborY="-64571">
        <dgm:presLayoutVars>
          <dgm:bulletEnabled val="1"/>
        </dgm:presLayoutVars>
      </dgm:prSet>
      <dgm:spPr/>
    </dgm:pt>
    <dgm:pt modelId="{AB914070-2026-4C22-A651-45F22AE413EF}" type="pres">
      <dgm:prSet presAssocID="{D89224D6-5B35-4DAB-AC71-E0C2CAC42C82}" presName="ellipse5" presStyleLbl="vennNode1" presStyleIdx="4" presStyleCnt="6" custLinFactNeighborX="66468" custLinFactNeighborY="-2685">
        <dgm:presLayoutVars>
          <dgm:bulletEnabled val="1"/>
        </dgm:presLayoutVars>
      </dgm:prSet>
      <dgm:spPr/>
    </dgm:pt>
    <dgm:pt modelId="{456985A8-E846-423A-A5AD-3B8EDCB23038}" type="pres">
      <dgm:prSet presAssocID="{D89224D6-5B35-4DAB-AC71-E0C2CAC42C82}" presName="ellipse6" presStyleLbl="vennNode1" presStyleIdx="5" presStyleCnt="6" custLinFactX="10084" custLinFactNeighborX="100000" custLinFactNeighborY="-65778">
        <dgm:presLayoutVars>
          <dgm:bulletEnabled val="1"/>
        </dgm:presLayoutVars>
      </dgm:prSet>
      <dgm:spPr/>
    </dgm:pt>
  </dgm:ptLst>
  <dgm:cxnLst>
    <dgm:cxn modelId="{B591A700-AD8E-43E8-BD26-76476201629A}" type="presOf" srcId="{BB46F64B-D6E2-4297-9D15-01FB39B5F023}" destId="{AB914070-2026-4C22-A651-45F22AE413EF}" srcOrd="0" destOrd="0" presId="urn:microsoft.com/office/officeart/2005/8/layout/rings+Icon"/>
    <dgm:cxn modelId="{D3A2FD01-0070-4112-871A-DB8195F6EDAA}" type="presOf" srcId="{76624769-B776-425C-BD17-EE0399C3605C}" destId="{89112705-16BF-4970-AB63-8532E11F8052}" srcOrd="0" destOrd="0" presId="urn:microsoft.com/office/officeart/2005/8/layout/rings+Icon"/>
    <dgm:cxn modelId="{E7E68E02-64EC-4DB9-A271-B499F99C2740}" type="presOf" srcId="{B8A34F0C-C054-4289-869B-78B0F60E2F03}" destId="{34813239-568E-4FFD-BB49-D8474F430235}" srcOrd="0" destOrd="0" presId="urn:microsoft.com/office/officeart/2005/8/layout/rings+Icon"/>
    <dgm:cxn modelId="{CD041125-EC05-454D-AB64-D4D92651CE7B}" srcId="{D89224D6-5B35-4DAB-AC71-E0C2CAC42C82}" destId="{904223E5-53A6-4885-B822-CAF92D51E051}" srcOrd="0" destOrd="0" parTransId="{350B2AD1-7298-4335-B638-37556D3DA183}" sibTransId="{9D7837DB-2CEB-42FE-8A75-FA9DC65BA20B}"/>
    <dgm:cxn modelId="{FFB80749-56F8-441C-BA61-467A10398DE3}" srcId="{D89224D6-5B35-4DAB-AC71-E0C2CAC42C82}" destId="{76624769-B776-425C-BD17-EE0399C3605C}" srcOrd="3" destOrd="0" parTransId="{BC7B943B-D54F-47D5-AC7D-BAD4018A068A}" sibTransId="{B811FB7C-BF6F-4618-888C-6681349F9B8E}"/>
    <dgm:cxn modelId="{B251686E-A103-4975-9A2D-AACEF8C812DF}" srcId="{D89224D6-5B35-4DAB-AC71-E0C2CAC42C82}" destId="{BB46F64B-D6E2-4297-9D15-01FB39B5F023}" srcOrd="4" destOrd="0" parTransId="{08ACFE09-D2D3-4989-B218-FE592E270190}" sibTransId="{7AFC7D73-EEFE-4309-8613-008C4CB53F03}"/>
    <dgm:cxn modelId="{5C6AE553-A1FD-47E8-B7CD-32D48FC0CF8E}" srcId="{D89224D6-5B35-4DAB-AC71-E0C2CAC42C82}" destId="{97615AA8-0F21-438E-A227-CE5477590F6B}" srcOrd="5" destOrd="0" parTransId="{5BA11CCC-99E8-440C-A26A-64F1BCFDC4A1}" sibTransId="{10D32671-8F16-48A5-9589-D38E7FCF40F0}"/>
    <dgm:cxn modelId="{C17DCF58-632F-43B6-8527-B1BC9AB31193}" type="presOf" srcId="{D89224D6-5B35-4DAB-AC71-E0C2CAC42C82}" destId="{417E0AC7-E5D6-46CC-9D55-17F1119B103B}" srcOrd="0" destOrd="0" presId="urn:microsoft.com/office/officeart/2005/8/layout/rings+Icon"/>
    <dgm:cxn modelId="{1E0D9B83-E88C-4324-BD74-2C2034B23017}" type="presOf" srcId="{904223E5-53A6-4885-B822-CAF92D51E051}" destId="{84866497-F910-42EE-B409-C14D4544BE47}" srcOrd="0" destOrd="0" presId="urn:microsoft.com/office/officeart/2005/8/layout/rings+Icon"/>
    <dgm:cxn modelId="{CBDFD8B1-33B8-4A46-9FCD-8B0071630D69}" srcId="{D89224D6-5B35-4DAB-AC71-E0C2CAC42C82}" destId="{B2C98DE2-C269-4211-AF8E-84A8BBAE758A}" srcOrd="2" destOrd="0" parTransId="{A39EF1A3-589F-4396-B810-3BC76CA48B31}" sibTransId="{D91B12FA-B23D-4F7B-B0C4-0A3EDAC3CE24}"/>
    <dgm:cxn modelId="{5AE9B5E5-981C-4008-8152-2B65F5746364}" srcId="{D89224D6-5B35-4DAB-AC71-E0C2CAC42C82}" destId="{B8A34F0C-C054-4289-869B-78B0F60E2F03}" srcOrd="1" destOrd="0" parTransId="{C935EC6C-EFD8-4D04-B1BD-CC33924C2102}" sibTransId="{57205DB5-12FF-4E99-ADED-83B20864E148}"/>
    <dgm:cxn modelId="{FEAC77E9-9167-4D54-B135-BC9DC5569256}" type="presOf" srcId="{B2C98DE2-C269-4211-AF8E-84A8BBAE758A}" destId="{8138286F-18D3-4FAF-A751-AC42661D66A3}" srcOrd="0" destOrd="0" presId="urn:microsoft.com/office/officeart/2005/8/layout/rings+Icon"/>
    <dgm:cxn modelId="{9D0FEBFA-1FAE-4D76-B3E2-9ACFD8A826B5}" type="presOf" srcId="{97615AA8-0F21-438E-A227-CE5477590F6B}" destId="{456985A8-E846-423A-A5AD-3B8EDCB23038}" srcOrd="0" destOrd="0" presId="urn:microsoft.com/office/officeart/2005/8/layout/rings+Icon"/>
    <dgm:cxn modelId="{69BC7FE8-B2CD-432D-AA31-A0047A24F28C}" type="presParOf" srcId="{417E0AC7-E5D6-46CC-9D55-17F1119B103B}" destId="{84866497-F910-42EE-B409-C14D4544BE47}" srcOrd="0" destOrd="0" presId="urn:microsoft.com/office/officeart/2005/8/layout/rings+Icon"/>
    <dgm:cxn modelId="{ACC3EEAA-3A69-409B-B173-7F8D02315D0F}" type="presParOf" srcId="{417E0AC7-E5D6-46CC-9D55-17F1119B103B}" destId="{34813239-568E-4FFD-BB49-D8474F430235}" srcOrd="1" destOrd="0" presId="urn:microsoft.com/office/officeart/2005/8/layout/rings+Icon"/>
    <dgm:cxn modelId="{A1829123-DD1B-4816-9FAF-CED13D099D16}" type="presParOf" srcId="{417E0AC7-E5D6-46CC-9D55-17F1119B103B}" destId="{8138286F-18D3-4FAF-A751-AC42661D66A3}" srcOrd="2" destOrd="0" presId="urn:microsoft.com/office/officeart/2005/8/layout/rings+Icon"/>
    <dgm:cxn modelId="{BB2FE4B7-8665-4B9B-B0B4-4909C9225B99}" type="presParOf" srcId="{417E0AC7-E5D6-46CC-9D55-17F1119B103B}" destId="{89112705-16BF-4970-AB63-8532E11F8052}" srcOrd="3" destOrd="0" presId="urn:microsoft.com/office/officeart/2005/8/layout/rings+Icon"/>
    <dgm:cxn modelId="{7D2C0356-AD4F-4689-8D76-4737DEE7B956}" type="presParOf" srcId="{417E0AC7-E5D6-46CC-9D55-17F1119B103B}" destId="{AB914070-2026-4C22-A651-45F22AE413EF}" srcOrd="4" destOrd="0" presId="urn:microsoft.com/office/officeart/2005/8/layout/rings+Icon"/>
    <dgm:cxn modelId="{96E162BA-06B4-4085-9124-DC0D8C2ECA2E}" type="presParOf" srcId="{417E0AC7-E5D6-46CC-9D55-17F1119B103B}" destId="{456985A8-E846-423A-A5AD-3B8EDCB23038}" srcOrd="5" destOrd="0" presId="urn:microsoft.com/office/officeart/2005/8/layout/rings+Icon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89224D6-5B35-4DAB-AC71-E0C2CAC42C82}" type="doc">
      <dgm:prSet loTypeId="urn:microsoft.com/office/officeart/2005/8/layout/rings+Icon" loCatId="officeonline" qsTypeId="urn:microsoft.com/office/officeart/2005/8/quickstyle/3d3" qsCatId="3D" csTypeId="urn:microsoft.com/office/officeart/2005/8/colors/colorful1" csCatId="colorful" phldr="1"/>
      <dgm:spPr/>
    </dgm:pt>
    <dgm:pt modelId="{57DBA47A-8CD6-4711-B2DC-D7132EF1FEA2}">
      <dgm:prSet phldrT="[Text]"/>
      <dgm:spPr/>
      <dgm:t>
        <a:bodyPr/>
        <a:lstStyle/>
        <a:p>
          <a:r>
            <a:rPr lang="en-US"/>
            <a:t>COMPUTING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2366AD2A-52B5-464F-BCCE-694E35850D04}" type="sibTrans" cxnId="{CE32E613-95EF-4863-B25A-E64E6C86CEA1}">
      <dgm:prSet/>
      <dgm:spPr/>
      <dgm:t>
        <a:bodyPr/>
        <a:lstStyle/>
        <a:p>
          <a:endParaRPr lang="en-GH"/>
        </a:p>
      </dgm:t>
    </dgm:pt>
    <dgm:pt modelId="{C44EFE4C-1CDC-4A12-9EA1-9F70CD0D10F3}" type="parTrans" cxnId="{CE32E613-95EF-4863-B25A-E64E6C86CEA1}">
      <dgm:prSet/>
      <dgm:spPr/>
      <dgm:t>
        <a:bodyPr/>
        <a:lstStyle/>
        <a:p>
          <a:endParaRPr lang="en-GH"/>
        </a:p>
      </dgm:t>
    </dgm:pt>
    <dgm:pt modelId="{529ECE34-AC49-4CC7-A0C3-240D04A8034C}">
      <dgm:prSet phldrT="[Text]"/>
      <dgm:spPr/>
      <dgm:t>
        <a:bodyPr/>
        <a:lstStyle/>
        <a:p>
          <a:r>
            <a:rPr lang="en-US"/>
            <a:t>RME</a:t>
          </a:r>
          <a:endParaRPr lang="en-GH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1432D9C2-FD33-48E8-BF7D-5647D925DCEF}" type="parTrans" cxnId="{A5353626-D37E-471E-A5B1-973E3D83021B}">
      <dgm:prSet/>
      <dgm:spPr/>
      <dgm:t>
        <a:bodyPr/>
        <a:lstStyle/>
        <a:p>
          <a:endParaRPr lang="en-GH"/>
        </a:p>
      </dgm:t>
    </dgm:pt>
    <dgm:pt modelId="{114EFBC3-4BA0-44C4-AFD6-E721C597F707}" type="sibTrans" cxnId="{A5353626-D37E-471E-A5B1-973E3D83021B}">
      <dgm:prSet/>
      <dgm:spPr/>
      <dgm:t>
        <a:bodyPr/>
        <a:lstStyle/>
        <a:p>
          <a:endParaRPr lang="en-GH"/>
        </a:p>
      </dgm:t>
    </dgm:pt>
    <dgm:pt modelId="{77ED5669-18E3-49C7-8060-C1DD63BA0C54}">
      <dgm:prSet phldrT="[Text]"/>
      <dgm:spPr/>
      <dgm:t>
        <a:bodyPr/>
        <a:lstStyle/>
        <a:p>
          <a:r>
            <a:rPr lang="en-US"/>
            <a:t>FRENCH</a:t>
          </a:r>
          <a:endParaRPr lang="en-GH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FEA650E8-36DE-48B6-A827-817D43C8A5AC}" type="parTrans" cxnId="{98268FB8-7463-478A-B83D-6565A7898E54}">
      <dgm:prSet/>
      <dgm:spPr/>
      <dgm:t>
        <a:bodyPr/>
        <a:lstStyle/>
        <a:p>
          <a:endParaRPr lang="en-GH"/>
        </a:p>
      </dgm:t>
    </dgm:pt>
    <dgm:pt modelId="{1022A213-9EC6-4BD1-ADCC-7423A476721B}" type="sibTrans" cxnId="{98268FB8-7463-478A-B83D-6565A7898E54}">
      <dgm:prSet/>
      <dgm:spPr/>
      <dgm:t>
        <a:bodyPr/>
        <a:lstStyle/>
        <a:p>
          <a:endParaRPr lang="en-GH"/>
        </a:p>
      </dgm:t>
    </dgm:pt>
    <dgm:pt modelId="{550C6441-2A5F-4599-8F59-613526F872BD}">
      <dgm:prSet phldrT="[Text]"/>
      <dgm:spPr/>
      <dgm:t>
        <a:bodyPr/>
        <a:lstStyle/>
        <a:p>
          <a:r>
            <a:rPr lang="en-US"/>
            <a:t>HISTORY</a:t>
          </a:r>
          <a:endParaRPr lang="en-GH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DE2E62ED-7A98-4D4F-BF00-F7727898480F}" type="sibTrans" cxnId="{9FC4CB5E-9F07-48E1-B8FA-F23A514971FB}">
      <dgm:prSet/>
      <dgm:spPr/>
      <dgm:t>
        <a:bodyPr/>
        <a:lstStyle/>
        <a:p>
          <a:endParaRPr lang="en-GH"/>
        </a:p>
      </dgm:t>
    </dgm:pt>
    <dgm:pt modelId="{5BEF382A-E0D1-4B3B-85C5-6487639F7C5C}" type="parTrans" cxnId="{9FC4CB5E-9F07-48E1-B8FA-F23A514971FB}">
      <dgm:prSet/>
      <dgm:spPr/>
      <dgm:t>
        <a:bodyPr/>
        <a:lstStyle/>
        <a:p>
          <a:endParaRPr lang="en-GH"/>
        </a:p>
      </dgm:t>
    </dgm:pt>
    <dgm:pt modelId="{417E0AC7-E5D6-46CC-9D55-17F1119B103B}" type="pres">
      <dgm:prSet presAssocID="{D89224D6-5B35-4DAB-AC71-E0C2CAC42C82}" presName="Name0" presStyleCnt="0">
        <dgm:presLayoutVars>
          <dgm:chMax val="7"/>
          <dgm:dir/>
          <dgm:resizeHandles val="exact"/>
        </dgm:presLayoutVars>
      </dgm:prSet>
      <dgm:spPr/>
    </dgm:pt>
    <dgm:pt modelId="{84866497-F910-42EE-B409-C14D4544BE47}" type="pres">
      <dgm:prSet presAssocID="{D89224D6-5B35-4DAB-AC71-E0C2CAC42C82}" presName="ellipse1" presStyleLbl="vennNode1" presStyleIdx="0" presStyleCnt="4" custScaleX="140845" custScaleY="72121" custLinFactX="52343" custLinFactNeighborX="100000" custLinFactNeighborY="-2548">
        <dgm:presLayoutVars>
          <dgm:bulletEnabled val="1"/>
        </dgm:presLayoutVars>
      </dgm:prSet>
      <dgm:spPr/>
    </dgm:pt>
    <dgm:pt modelId="{34813239-568E-4FFD-BB49-D8474F430235}" type="pres">
      <dgm:prSet presAssocID="{D89224D6-5B35-4DAB-AC71-E0C2CAC42C82}" presName="ellipse2" presStyleLbl="vennNode1" presStyleIdx="1" presStyleCnt="4" custScaleX="139329" custScaleY="74145" custLinFactNeighborX="-39887" custLinFactNeighborY="-72120">
        <dgm:presLayoutVars>
          <dgm:bulletEnabled val="1"/>
        </dgm:presLayoutVars>
      </dgm:prSet>
      <dgm:spPr/>
    </dgm:pt>
    <dgm:pt modelId="{8138286F-18D3-4FAF-A751-AC42661D66A3}" type="pres">
      <dgm:prSet presAssocID="{D89224D6-5B35-4DAB-AC71-E0C2CAC42C82}" presName="ellipse3" presStyleLbl="vennNode1" presStyleIdx="2" presStyleCnt="4" custScaleX="135096" custScaleY="66014" custLinFactX="-100000" custLinFactNeighborX="-131394" custLinFactNeighborY="-6804">
        <dgm:presLayoutVars>
          <dgm:bulletEnabled val="1"/>
        </dgm:presLayoutVars>
      </dgm:prSet>
      <dgm:spPr/>
    </dgm:pt>
    <dgm:pt modelId="{89112705-16BF-4970-AB63-8532E11F8052}" type="pres">
      <dgm:prSet presAssocID="{D89224D6-5B35-4DAB-AC71-E0C2CAC42C82}" presName="ellipse4" presStyleLbl="vennNode1" presStyleIdx="3" presStyleCnt="4" custScaleX="123279" custScaleY="68852" custLinFactX="30413" custLinFactNeighborX="100000" custLinFactNeighborY="-66794">
        <dgm:presLayoutVars>
          <dgm:bulletEnabled val="1"/>
        </dgm:presLayoutVars>
      </dgm:prSet>
      <dgm:spPr/>
    </dgm:pt>
  </dgm:ptLst>
  <dgm:cxnLst>
    <dgm:cxn modelId="{1059E705-DECB-4FD5-9178-57CA4152B26B}" type="presOf" srcId="{529ECE34-AC49-4CC7-A0C3-240D04A8034C}" destId="{84866497-F910-42EE-B409-C14D4544BE47}" srcOrd="0" destOrd="0" presId="urn:microsoft.com/office/officeart/2005/8/layout/rings+Icon"/>
    <dgm:cxn modelId="{CE32E613-95EF-4863-B25A-E64E6C86CEA1}" srcId="{D89224D6-5B35-4DAB-AC71-E0C2CAC42C82}" destId="{57DBA47A-8CD6-4711-B2DC-D7132EF1FEA2}" srcOrd="2" destOrd="0" parTransId="{C44EFE4C-1CDC-4A12-9EA1-9F70CD0D10F3}" sibTransId="{2366AD2A-52B5-464F-BCCE-694E35850D04}"/>
    <dgm:cxn modelId="{284B1F1B-B75C-452C-83A3-5A23F79552E2}" type="presOf" srcId="{550C6441-2A5F-4599-8F59-613526F872BD}" destId="{34813239-568E-4FFD-BB49-D8474F430235}" srcOrd="0" destOrd="0" presId="urn:microsoft.com/office/officeart/2005/8/layout/rings+Icon"/>
    <dgm:cxn modelId="{A5353626-D37E-471E-A5B1-973E3D83021B}" srcId="{D89224D6-5B35-4DAB-AC71-E0C2CAC42C82}" destId="{529ECE34-AC49-4CC7-A0C3-240D04A8034C}" srcOrd="0" destOrd="0" parTransId="{1432D9C2-FD33-48E8-BF7D-5647D925DCEF}" sibTransId="{114EFBC3-4BA0-44C4-AFD6-E721C597F707}"/>
    <dgm:cxn modelId="{9FC4CB5E-9F07-48E1-B8FA-F23A514971FB}" srcId="{D89224D6-5B35-4DAB-AC71-E0C2CAC42C82}" destId="{550C6441-2A5F-4599-8F59-613526F872BD}" srcOrd="1" destOrd="0" parTransId="{5BEF382A-E0D1-4B3B-85C5-6487639F7C5C}" sibTransId="{DE2E62ED-7A98-4D4F-BF00-F7727898480F}"/>
    <dgm:cxn modelId="{C17DCF58-632F-43B6-8527-B1BC9AB31193}" type="presOf" srcId="{D89224D6-5B35-4DAB-AC71-E0C2CAC42C82}" destId="{417E0AC7-E5D6-46CC-9D55-17F1119B103B}" srcOrd="0" destOrd="0" presId="urn:microsoft.com/office/officeart/2005/8/layout/rings+Icon"/>
    <dgm:cxn modelId="{205FA282-3792-4D50-8C6E-F5451C7B761E}" type="presOf" srcId="{57DBA47A-8CD6-4711-B2DC-D7132EF1FEA2}" destId="{8138286F-18D3-4FAF-A751-AC42661D66A3}" srcOrd="0" destOrd="0" presId="urn:microsoft.com/office/officeart/2005/8/layout/rings+Icon"/>
    <dgm:cxn modelId="{98268FB8-7463-478A-B83D-6565A7898E54}" srcId="{D89224D6-5B35-4DAB-AC71-E0C2CAC42C82}" destId="{77ED5669-18E3-49C7-8060-C1DD63BA0C54}" srcOrd="3" destOrd="0" parTransId="{FEA650E8-36DE-48B6-A827-817D43C8A5AC}" sibTransId="{1022A213-9EC6-4BD1-ADCC-7423A476721B}"/>
    <dgm:cxn modelId="{501707F0-44AA-482C-8023-2656AD4873DA}" type="presOf" srcId="{77ED5669-18E3-49C7-8060-C1DD63BA0C54}" destId="{89112705-16BF-4970-AB63-8532E11F8052}" srcOrd="0" destOrd="0" presId="urn:microsoft.com/office/officeart/2005/8/layout/rings+Icon"/>
    <dgm:cxn modelId="{69BC7FE8-B2CD-432D-AA31-A0047A24F28C}" type="presParOf" srcId="{417E0AC7-E5D6-46CC-9D55-17F1119B103B}" destId="{84866497-F910-42EE-B409-C14D4544BE47}" srcOrd="0" destOrd="0" presId="urn:microsoft.com/office/officeart/2005/8/layout/rings+Icon"/>
    <dgm:cxn modelId="{ACC3EEAA-3A69-409B-B173-7F8D02315D0F}" type="presParOf" srcId="{417E0AC7-E5D6-46CC-9D55-17F1119B103B}" destId="{34813239-568E-4FFD-BB49-D8474F430235}" srcOrd="1" destOrd="0" presId="urn:microsoft.com/office/officeart/2005/8/layout/rings+Icon"/>
    <dgm:cxn modelId="{A1829123-DD1B-4816-9FAF-CED13D099D16}" type="presParOf" srcId="{417E0AC7-E5D6-46CC-9D55-17F1119B103B}" destId="{8138286F-18D3-4FAF-A751-AC42661D66A3}" srcOrd="2" destOrd="0" presId="urn:microsoft.com/office/officeart/2005/8/layout/rings+Icon"/>
    <dgm:cxn modelId="{BB2FE4B7-8665-4B9B-B0B4-4909C9225B99}" type="presParOf" srcId="{417E0AC7-E5D6-46CC-9D55-17F1119B103B}" destId="{89112705-16BF-4970-AB63-8532E11F8052}" srcOrd="3" destOrd="0" presId="urn:microsoft.com/office/officeart/2005/8/layout/rings+Icon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4866497-F910-42EE-B409-C14D4544BE47}">
      <dsp:nvSpPr>
        <dsp:cNvPr id="0" name=""/>
        <dsp:cNvSpPr/>
      </dsp:nvSpPr>
      <dsp:spPr>
        <a:xfrm>
          <a:off x="165829" y="0"/>
          <a:ext cx="709502" cy="709538"/>
        </a:xfrm>
        <a:prstGeom prst="ellipse">
          <a:avLst/>
        </a:prstGeom>
        <a:solidFill>
          <a:schemeClr val="accent2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b="1" kern="1200"/>
            <a:t>ENGLISH</a:t>
          </a:r>
          <a:endParaRPr lang="en-GH" sz="900" b="1" kern="1200"/>
        </a:p>
      </dsp:txBody>
      <dsp:txXfrm>
        <a:off x="269733" y="103909"/>
        <a:ext cx="501694" cy="501720"/>
      </dsp:txXfrm>
    </dsp:sp>
    <dsp:sp modelId="{34813239-568E-4FFD-BB49-D8474F430235}">
      <dsp:nvSpPr>
        <dsp:cNvPr id="0" name=""/>
        <dsp:cNvSpPr/>
      </dsp:nvSpPr>
      <dsp:spPr>
        <a:xfrm>
          <a:off x="823989" y="0"/>
          <a:ext cx="709502" cy="709538"/>
        </a:xfrm>
        <a:prstGeom prst="ellipse">
          <a:avLst/>
        </a:prstGeom>
        <a:solidFill>
          <a:schemeClr val="accent3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b="1" kern="1200"/>
            <a:t>MATHS</a:t>
          </a:r>
          <a:endParaRPr lang="en-GH" sz="900" b="1" kern="1200"/>
        </a:p>
      </dsp:txBody>
      <dsp:txXfrm>
        <a:off x="927893" y="103909"/>
        <a:ext cx="501694" cy="501720"/>
      </dsp:txXfrm>
    </dsp:sp>
    <dsp:sp modelId="{8138286F-18D3-4FAF-A751-AC42661D66A3}">
      <dsp:nvSpPr>
        <dsp:cNvPr id="0" name=""/>
        <dsp:cNvSpPr/>
      </dsp:nvSpPr>
      <dsp:spPr>
        <a:xfrm>
          <a:off x="1511663" y="0"/>
          <a:ext cx="709502" cy="709538"/>
        </a:xfrm>
        <a:prstGeom prst="ellipse">
          <a:avLst/>
        </a:prstGeom>
        <a:solidFill>
          <a:schemeClr val="accent4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b="1" kern="1200"/>
            <a:t>SCIENCE</a:t>
          </a:r>
          <a:endParaRPr lang="en-GH" sz="900" b="1" kern="1200"/>
        </a:p>
      </dsp:txBody>
      <dsp:txXfrm>
        <a:off x="1615567" y="103909"/>
        <a:ext cx="501694" cy="501720"/>
      </dsp:txXfrm>
    </dsp:sp>
    <dsp:sp modelId="{89112705-16BF-4970-AB63-8532E11F8052}">
      <dsp:nvSpPr>
        <dsp:cNvPr id="0" name=""/>
        <dsp:cNvSpPr/>
      </dsp:nvSpPr>
      <dsp:spPr>
        <a:xfrm>
          <a:off x="2183125" y="0"/>
          <a:ext cx="709502" cy="709538"/>
        </a:xfrm>
        <a:prstGeom prst="ellipse">
          <a:avLst/>
        </a:prstGeom>
        <a:solidFill>
          <a:schemeClr val="accent5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b="1" kern="1200"/>
            <a:t>OWOP</a:t>
          </a:r>
          <a:endParaRPr lang="en-GH" sz="900" b="1" kern="1200"/>
        </a:p>
      </dsp:txBody>
      <dsp:txXfrm>
        <a:off x="2287029" y="103909"/>
        <a:ext cx="501694" cy="501720"/>
      </dsp:txXfrm>
    </dsp:sp>
    <dsp:sp modelId="{AB914070-2026-4C22-A651-45F22AE413EF}">
      <dsp:nvSpPr>
        <dsp:cNvPr id="0" name=""/>
        <dsp:cNvSpPr/>
      </dsp:nvSpPr>
      <dsp:spPr>
        <a:xfrm>
          <a:off x="2846102" y="0"/>
          <a:ext cx="709502" cy="709538"/>
        </a:xfrm>
        <a:prstGeom prst="ellipse">
          <a:avLst/>
        </a:prstGeom>
        <a:solidFill>
          <a:schemeClr val="accent6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C. </a:t>
          </a:r>
          <a:r>
            <a:rPr lang="en-US" sz="900" b="1" kern="1200"/>
            <a:t>ARTS</a:t>
          </a:r>
          <a:endParaRPr lang="en-GH" sz="900" b="1" kern="1200"/>
        </a:p>
      </dsp:txBody>
      <dsp:txXfrm>
        <a:off x="2950006" y="103909"/>
        <a:ext cx="501694" cy="501720"/>
      </dsp:txXfrm>
    </dsp:sp>
    <dsp:sp modelId="{456985A8-E846-423A-A5AD-3B8EDCB23038}">
      <dsp:nvSpPr>
        <dsp:cNvPr id="0" name=""/>
        <dsp:cNvSpPr/>
      </dsp:nvSpPr>
      <dsp:spPr>
        <a:xfrm>
          <a:off x="3524092" y="0"/>
          <a:ext cx="709502" cy="709538"/>
        </a:xfrm>
        <a:prstGeom prst="ellipse">
          <a:avLst/>
        </a:prstGeom>
        <a:solidFill>
          <a:schemeClr val="accent2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b="1" kern="1200"/>
            <a:t>GH. LANG</a:t>
          </a:r>
          <a:endParaRPr lang="en-GH" sz="900" b="1" kern="1200"/>
        </a:p>
      </dsp:txBody>
      <dsp:txXfrm>
        <a:off x="3627996" y="103909"/>
        <a:ext cx="501694" cy="501720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4866497-F910-42EE-B409-C14D4544BE47}">
      <dsp:nvSpPr>
        <dsp:cNvPr id="0" name=""/>
        <dsp:cNvSpPr/>
      </dsp:nvSpPr>
      <dsp:spPr>
        <a:xfrm>
          <a:off x="2111916" y="76195"/>
          <a:ext cx="985752" cy="504825"/>
        </a:xfrm>
        <a:prstGeom prst="ellipse">
          <a:avLst/>
        </a:prstGeom>
        <a:solidFill>
          <a:schemeClr val="accent2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RME</a:t>
          </a:r>
          <a:endParaRPr lang="en-GH" sz="900" kern="1200"/>
        </a:p>
      </dsp:txBody>
      <dsp:txXfrm>
        <a:off x="2256276" y="150125"/>
        <a:ext cx="697032" cy="356965"/>
      </dsp:txXfrm>
    </dsp:sp>
    <dsp:sp modelId="{34813239-568E-4FFD-BB49-D8474F430235}">
      <dsp:nvSpPr>
        <dsp:cNvPr id="0" name=""/>
        <dsp:cNvSpPr/>
      </dsp:nvSpPr>
      <dsp:spPr>
        <a:xfrm>
          <a:off x="1131921" y="48969"/>
          <a:ext cx="975142" cy="518993"/>
        </a:xfrm>
        <a:prstGeom prst="ellipse">
          <a:avLst/>
        </a:prstGeom>
        <a:solidFill>
          <a:schemeClr val="accent3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HISTORY</a:t>
          </a:r>
          <a:endParaRPr lang="en-GH" sz="900" kern="1200"/>
        </a:p>
      </dsp:txBody>
      <dsp:txXfrm>
        <a:off x="1274727" y="124974"/>
        <a:ext cx="689530" cy="366983"/>
      </dsp:txXfrm>
    </dsp:sp>
    <dsp:sp modelId="{8138286F-18D3-4FAF-A751-AC42661D66A3}">
      <dsp:nvSpPr>
        <dsp:cNvPr id="0" name=""/>
        <dsp:cNvSpPr/>
      </dsp:nvSpPr>
      <dsp:spPr>
        <a:xfrm>
          <a:off x="166316" y="67778"/>
          <a:ext cx="945516" cy="462078"/>
        </a:xfrm>
        <a:prstGeom prst="ellipse">
          <a:avLst/>
        </a:prstGeom>
        <a:solidFill>
          <a:schemeClr val="accent4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COMPUTING</a:t>
          </a:r>
        </a:p>
      </dsp:txBody>
      <dsp:txXfrm>
        <a:off x="304784" y="135448"/>
        <a:ext cx="668580" cy="326738"/>
      </dsp:txXfrm>
    </dsp:sp>
    <dsp:sp modelId="{89112705-16BF-4970-AB63-8532E11F8052}">
      <dsp:nvSpPr>
        <dsp:cNvPr id="0" name=""/>
        <dsp:cNvSpPr/>
      </dsp:nvSpPr>
      <dsp:spPr>
        <a:xfrm>
          <a:off x="3099989" y="104774"/>
          <a:ext cx="862811" cy="481943"/>
        </a:xfrm>
        <a:prstGeom prst="ellipse">
          <a:avLst/>
        </a:prstGeom>
        <a:solidFill>
          <a:schemeClr val="accent5">
            <a:alpha val="50000"/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2700" prstMaterial="clear">
          <a:bevelT w="177800" h="254000"/>
          <a:bevelB w="1524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tx1"/>
        </a:fontRef>
      </dsp:style>
      <dsp:txBody>
        <a:bodyPr spcFirstLastPara="0" vert="horz" wrap="square" lIns="34290" tIns="34290" rIns="34290" bIns="3429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FRENCH</a:t>
          </a:r>
          <a:endParaRPr lang="en-GH" sz="900" kern="1200"/>
        </a:p>
      </dsp:txBody>
      <dsp:txXfrm>
        <a:off x="3226345" y="175353"/>
        <a:ext cx="610099" cy="34078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rings+Icon">
  <dgm:title val="Interconnected Rings"/>
  <dgm:desc val="Use to show overlapping or interconnected ideas or concepts. The first seven lines of Level 1 text correspond with a circle. Unused text does not appear, but remains available if you switch layouts.  "/>
  <dgm:catLst>
    <dgm:cat type="relationship" pri="32000"/>
    <dgm:cat type="officeonline" pri="6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0"/>
        <dgm:pt modelId="20"/>
      </dgm:ptLst>
      <dgm:cxnLst>
        <dgm:cxn modelId="30" srcId="0" destId="10" srcOrd="0" destOrd="0"/>
        <dgm:cxn modelId="40" srcId="0" destId="20" srcOrd="1" destOrd="0"/>
      </dgm:cxnLst>
      <dgm:bg/>
      <dgm:whole/>
    </dgm:dataModel>
  </dgm:styleData>
  <dgm:clrData>
    <dgm:dataModel>
      <dgm:ptLst>
        <dgm:pt modelId="0" type="doc"/>
        <dgm:pt modelId="10"/>
        <dgm:pt modelId="20"/>
        <dgm:pt modelId="30"/>
        <dgm:pt modelId="40"/>
      </dgm:ptLst>
      <dgm:cxnLst>
        <dgm:cxn modelId="50" srcId="0" destId="10" srcOrd="0" destOrd="0"/>
        <dgm:cxn modelId="60" srcId="0" destId="20" srcOrd="1" destOrd="0"/>
        <dgm:cxn modelId="70" srcId="0" destId="30" srcOrd="2" destOrd="0"/>
        <dgm:cxn modelId="80" srcId="0" destId="40" srcOrd="2" destOrd="0"/>
      </dgm:cxnLst>
      <dgm:bg/>
      <dgm:whole/>
    </dgm:dataModel>
  </dgm:clrData>
  <dgm:layoutNode name="Name0">
    <dgm:varLst>
      <dgm:chMax val="7"/>
      <dgm:dir/>
      <dgm:resizeHandles val="exact"/>
    </dgm:varLst>
    <dgm:choose name="Name1">
      <dgm:if name="Name2" axis="ch" ptType="node" func="cnt" op="lt" val="1">
        <dgm:alg type="composite"/>
        <dgm:shape xmlns:r="http://schemas.openxmlformats.org/officeDocument/2006/relationships" r:blip="">
          <dgm:adjLst/>
        </dgm:shape>
        <dgm:presOf/>
        <dgm:constrLst/>
        <dgm:ruleLst/>
      </dgm:if>
      <dgm:if name="Name3" axis="ch" ptType="node" func="cnt" op="equ" val="1">
        <dgm:alg type="composite">
          <dgm:param type="ar" val="1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/>
          <dgm:constr type="h" for="ch" forName="ellipse1" refType="h"/>
        </dgm:constrLst>
      </dgm:if>
      <dgm:if name="Name4" axis="ch" ptType="node" func="cnt" op="equ" val="2">
        <dgm:alg type="composite">
          <dgm:param type="ar" val="0.9086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6602"/>
          <dgm:constr type="h" for="ch" forName="ellipse1" refType="h" fact="0.5999"/>
          <dgm:constr type="l" for="ch" forName="ellipse2" refType="w" fact="0.3398"/>
          <dgm:constr type="t" for="ch" forName="ellipse2" refType="h" fact="0.4001"/>
          <dgm:constr type="w" for="ch" forName="ellipse2" refType="w" fact="0.6602"/>
          <dgm:constr type="h" for="ch" forName="ellipse2" refType="h" fact="0.5999"/>
        </dgm:constrLst>
      </dgm:if>
      <dgm:if name="Name5" axis="ch" ptType="node" func="cnt" op="equ" val="3">
        <dgm:alg type="composite">
          <dgm:param type="ar" val="1.2171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4929"/>
          <dgm:constr type="h" for="ch" forName="ellipse1" refType="h" fact="0.5999"/>
          <dgm:constr type="l" for="ch" forName="ellipse2" refType="w" fact="0.2537"/>
          <dgm:constr type="t" for="ch" forName="ellipse2" refType="h" fact="0.4001"/>
          <dgm:constr type="w" for="ch" forName="ellipse2" refType="w" fact="0.4929"/>
          <dgm:constr type="h" for="ch" forName="ellipse2" refType="h" fact="0.5999"/>
          <dgm:constr type="l" for="ch" forName="ellipse3" refType="w" fact="0.5071"/>
          <dgm:constr type="t" for="ch" forName="ellipse3" refType="h" fact="0"/>
          <dgm:constr type="w" for="ch" forName="ellipse3" refType="w" fact="0.4929"/>
          <dgm:constr type="h" for="ch" forName="ellipse3" refType="h" fact="0.5999"/>
        </dgm:constrLst>
      </dgm:if>
      <dgm:if name="Name6" axis="ch" ptType="node" func="cnt" op="equ" val="4">
        <dgm:alg type="composite">
          <dgm:param type="ar" val="1.5255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3932"/>
          <dgm:constr type="h" for="ch" forName="ellipse1" refType="h" fact="0.5999"/>
          <dgm:constr type="l" for="ch" forName="ellipse2" refType="w" fact="0.2023"/>
          <dgm:constr type="t" for="ch" forName="ellipse2" refType="h" fact="0.4001"/>
          <dgm:constr type="w" for="ch" forName="ellipse2" refType="w" fact="0.3932"/>
          <dgm:constr type="h" for="ch" forName="ellipse2" refType="h" fact="0.5999"/>
          <dgm:constr type="l" for="ch" forName="ellipse3" refType="w" fact="0.4045"/>
          <dgm:constr type="t" for="ch" forName="ellipse3" refType="h" fact="0"/>
          <dgm:constr type="w" for="ch" forName="ellipse3" refType="w" fact="0.3932"/>
          <dgm:constr type="h" for="ch" forName="ellipse3" refType="h" fact="0.5999"/>
          <dgm:constr type="l" for="ch" forName="ellipse4" refType="w" fact="0.6068"/>
          <dgm:constr type="t" for="ch" forName="ellipse4" refType="h" fact="0.4001"/>
          <dgm:constr type="w" for="ch" forName="ellipse4" refType="w" fact="0.3932"/>
          <dgm:constr type="h" for="ch" forName="ellipse4" refType="h" fact="0.5999"/>
        </dgm:constrLst>
      </dgm:if>
      <dgm:if name="Name7" axis="ch" ptType="node" func="cnt" op="equ" val="5">
        <dgm:alg type="composite">
          <dgm:param type="ar" val="1.834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3271"/>
          <dgm:constr type="h" for="ch" forName="ellipse1" refType="h" fact="0.5999"/>
          <dgm:constr type="l" for="ch" forName="ellipse2" refType="w" fact="0.1682"/>
          <dgm:constr type="t" for="ch" forName="ellipse2" refType="h" fact="0.4001"/>
          <dgm:constr type="w" for="ch" forName="ellipse2" refType="w" fact="0.3271"/>
          <dgm:constr type="h" for="ch" forName="ellipse2" refType="h" fact="0.5999"/>
          <dgm:constr type="l" for="ch" forName="ellipse3" refType="w" fact="0.3365"/>
          <dgm:constr type="t" for="ch" forName="ellipse3" refType="h" fact="0"/>
          <dgm:constr type="w" for="ch" forName="ellipse3" refType="w" fact="0.3271"/>
          <dgm:constr type="h" for="ch" forName="ellipse3" refType="h" fact="0.5999"/>
          <dgm:constr type="l" for="ch" forName="ellipse4" refType="w" fact="0.5047"/>
          <dgm:constr type="t" for="ch" forName="ellipse4" refType="h" fact="0.4001"/>
          <dgm:constr type="w" for="ch" forName="ellipse4" refType="w" fact="0.3271"/>
          <dgm:constr type="h" for="ch" forName="ellipse4" refType="h" fact="0.5999"/>
          <dgm:constr type="l" for="ch" forName="ellipse5" refType="w" fact="0.6729"/>
          <dgm:constr type="t" for="ch" forName="ellipse5" refType="h" fact="0"/>
          <dgm:constr type="w" for="ch" forName="ellipse5" refType="w" fact="0.3271"/>
          <dgm:constr type="h" for="ch" forName="ellipse5" refType="h" fact="0.5999"/>
        </dgm:constrLst>
      </dgm:if>
      <dgm:if name="Name8" axis="ch" ptType="node" func="cnt" op="equ" val="6">
        <dgm:alg type="composite">
          <dgm:param type="ar" val="2.1873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278"/>
          <dgm:constr type="h" for="ch" forName="ellipse1" refType="h" fact="0.6081"/>
          <dgm:constr type="l" for="ch" forName="ellipse2" refType="w" fact="0.1444"/>
          <dgm:constr type="t" for="ch" forName="ellipse2" refType="h" fact="0.3919"/>
          <dgm:constr type="w" for="ch" forName="ellipse2" refType="w" fact="0.278"/>
          <dgm:constr type="h" for="ch" forName="ellipse2" refType="h" fact="0.6081"/>
          <dgm:constr type="l" for="ch" forName="ellipse3" refType="w" fact="0.2888"/>
          <dgm:constr type="t" for="ch" forName="ellipse3" refType="h" fact="0"/>
          <dgm:constr type="w" for="ch" forName="ellipse3" refType="w" fact="0.278"/>
          <dgm:constr type="h" for="ch" forName="ellipse3" refType="h" fact="0.6081"/>
          <dgm:constr type="l" for="ch" forName="ellipse4" refType="w" fact="0.4332"/>
          <dgm:constr type="t" for="ch" forName="ellipse4" refType="h" fact="0.3919"/>
          <dgm:constr type="w" for="ch" forName="ellipse4" refType="w" fact="0.278"/>
          <dgm:constr type="h" for="ch" forName="ellipse4" refType="h" fact="0.6081"/>
          <dgm:constr type="l" for="ch" forName="ellipse5" refType="w" fact="0.5776"/>
          <dgm:constr type="t" for="ch" forName="ellipse5" refType="h" fact="0"/>
          <dgm:constr type="w" for="ch" forName="ellipse5" refType="w" fact="0.278"/>
          <dgm:constr type="h" for="ch" forName="ellipse5" refType="h" fact="0.6081"/>
          <dgm:constr type="l" for="ch" forName="ellipse6" refType="w" fact="0.722"/>
          <dgm:constr type="t" for="ch" forName="ellipse6" refType="h" fact="0.3919"/>
          <dgm:constr type="w" for="ch" forName="ellipse6" refType="w" fact="0.278"/>
          <dgm:constr type="h" for="ch" forName="ellipse6" refType="h" fact="0.6081"/>
        </dgm:constrLst>
      </dgm:if>
      <dgm:else name="Name9">
        <dgm:alg type="composite">
          <dgm:param type="ar" val="2.3466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2455"/>
          <dgm:constr type="h" for="ch" forName="ellipse1" refType="h" fact="0.5761"/>
          <dgm:constr type="l" for="ch" forName="ellipse2" refType="w" fact="0.1257"/>
          <dgm:constr type="t" for="ch" forName="ellipse2" refType="h" fact="0.4239"/>
          <dgm:constr type="w" for="ch" forName="ellipse2" refType="w" fact="0.2455"/>
          <dgm:constr type="h" for="ch" forName="ellipse2" refType="h" fact="0.5761"/>
          <dgm:constr type="l" for="ch" forName="ellipse3" refType="w" fact="0.2515"/>
          <dgm:constr type="t" for="ch" forName="ellipse3" refType="h" fact="0"/>
          <dgm:constr type="w" for="ch" forName="ellipse3" refType="w" fact="0.2455"/>
          <dgm:constr type="h" for="ch" forName="ellipse3" refType="h" fact="0.5761"/>
          <dgm:constr type="l" for="ch" forName="ellipse4" refType="w" fact="0.3772"/>
          <dgm:constr type="t" for="ch" forName="ellipse4" refType="h" fact="0.4239"/>
          <dgm:constr type="w" for="ch" forName="ellipse4" refType="w" fact="0.2455"/>
          <dgm:constr type="h" for="ch" forName="ellipse4" refType="h" fact="0.5761"/>
          <dgm:constr type="l" for="ch" forName="ellipse5" refType="w" fact="0.503"/>
          <dgm:constr type="t" for="ch" forName="ellipse5" refType="h" fact="0"/>
          <dgm:constr type="w" for="ch" forName="ellipse5" refType="w" fact="0.2455"/>
          <dgm:constr type="h" for="ch" forName="ellipse5" refType="h" fact="0.5761"/>
          <dgm:constr type="l" for="ch" forName="ellipse6" refType="w" fact="0.6287"/>
          <dgm:constr type="t" for="ch" forName="ellipse6" refType="h" fact="0.4239"/>
          <dgm:constr type="w" for="ch" forName="ellipse6" refType="w" fact="0.2455"/>
          <dgm:constr type="h" for="ch" forName="ellipse6" refType="h" fact="0.5761"/>
          <dgm:constr type="l" for="ch" forName="ellipse7" refType="w" fact="0.7545"/>
          <dgm:constr type="t" for="ch" forName="ellipse7" refType="h" fact="0"/>
          <dgm:constr type="w" for="ch" forName="ellipse7" refType="w" fact="0.2455"/>
          <dgm:constr type="h" for="ch" forName="ellipse7" refType="h" fact="0.5761"/>
        </dgm:constrLst>
      </dgm:else>
    </dgm:choose>
    <dgm:choose name="Name10">
      <dgm:if name="Name11" axis="ch" ptType="node" func="cnt" op="gte" val="1">
        <dgm:layoutNode name="ellipse1" styleLbl="vennNode1">
          <dgm:varLst>
            <dgm:bulletEnabled val="1"/>
          </dgm:varLst>
          <dgm:alg type="tx"/>
          <dgm:shape xmlns:r="http://schemas.openxmlformats.org/officeDocument/2006/relationships" type="ellipse" r:blip="">
            <dgm:adjLst/>
          </dgm:shape>
          <dgm:choose name="Name12">
            <dgm:if name="Name13" func="var" arg="dir" op="equ" val="norm">
              <dgm:presOf axis="ch desOrSelf" ptType="node node" st="1 1" cnt="1 0"/>
            </dgm:if>
            <dgm:else name="Name14">
              <dgm:choose name="Name15">
                <dgm:if name="Name16" axis="ch" ptType="node" func="cnt" op="equ" val="1">
                  <dgm:presOf axis="ch desOrSelf" ptType="node node" st="1 1" cnt="1 0"/>
                </dgm:if>
                <dgm:if name="Name17" axis="ch" ptType="node" func="cnt" op="equ" val="2">
                  <dgm:presOf axis="ch desOrSelf" ptType="node node" st="2 1" cnt="1 0"/>
                </dgm:if>
                <dgm:if name="Name18" axis="ch" ptType="node" func="cnt" op="equ" val="3">
                  <dgm:presOf axis="ch desOrSelf" ptType="node node" st="3 1" cnt="1 0"/>
                </dgm:if>
                <dgm:if name="Name19" axis="ch" ptType="node" func="cnt" op="equ" val="4">
                  <dgm:presOf axis="ch desOrSelf" ptType="node node" st="4 1" cnt="1 0"/>
                </dgm:if>
                <dgm:if name="Name20" axis="ch" ptType="node" func="cnt" op="equ" val="5">
                  <dgm:presOf axis="ch desOrSelf" ptType="node node" st="5 1" cnt="1 0"/>
                </dgm:if>
                <dgm:if name="Name21" axis="ch" ptType="node" func="cnt" op="equ" val="6">
                  <dgm:presOf axis="ch desOrSelf" ptType="node node" st="6 1" cnt="1 0"/>
                </dgm:if>
                <dgm:if name="Name22" axis="ch" ptType="node" func="cnt" op="gte" val="7">
                  <dgm:presOf axis="ch desOrSelf" ptType="node node" st="7 1" cnt="1 0"/>
                </dgm:if>
                <dgm:else name="Name23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24"/>
    </dgm:choose>
    <dgm:choose name="Name25">
      <dgm:if name="Name26" axis="ch" ptType="node" func="cnt" op="gte" val="2">
        <dgm:layoutNode name="ellipse2" styleLbl="vennNode1">
          <dgm:varLst>
            <dgm:bulletEnabled val="1"/>
          </dgm:varLst>
          <dgm:alg type="tx"/>
          <dgm:choose name="Name27">
            <dgm:if name="Name28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2 1" cnt="1 0"/>
            </dgm:if>
            <dgm:else name="Name29">
              <dgm:shape xmlns:r="http://schemas.openxmlformats.org/officeDocument/2006/relationships" type="ellipse" r:blip="" zOrderOff="-2">
                <dgm:adjLst/>
              </dgm:shape>
              <dgm:choose name="Name30">
                <dgm:if name="Name31" axis="ch" ptType="node" func="cnt" op="equ" val="2">
                  <dgm:presOf axis="ch desOrSelf" ptType="node node" st="1 1" cnt="1 0"/>
                </dgm:if>
                <dgm:if name="Name32" axis="ch" ptType="node" func="cnt" op="equ" val="3">
                  <dgm:presOf axis="ch desOrSelf" ptType="node node" st="2 1" cnt="1 0"/>
                </dgm:if>
                <dgm:if name="Name33" axis="ch" ptType="node" func="cnt" op="equ" val="4">
                  <dgm:presOf axis="ch desOrSelf" ptType="node node" st="3 1" cnt="1 0"/>
                </dgm:if>
                <dgm:if name="Name34" axis="ch" ptType="node" func="cnt" op="equ" val="5">
                  <dgm:presOf axis="ch desOrSelf" ptType="node node" st="4 1" cnt="1 0"/>
                </dgm:if>
                <dgm:if name="Name35" axis="ch" ptType="node" func="cnt" op="equ" val="6">
                  <dgm:presOf axis="ch desOrSelf" ptType="node node" st="5 1" cnt="1 0"/>
                </dgm:if>
                <dgm:if name="Name36" axis="ch" ptType="node" func="cnt" op="gte" val="7">
                  <dgm:presOf axis="ch desOrSelf" ptType="node node" st="6 1" cnt="1 0"/>
                </dgm:if>
                <dgm:else name="Name37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38"/>
    </dgm:choose>
    <dgm:choose name="Name39">
      <dgm:if name="Name40" axis="ch" ptType="node" func="cnt" op="gte" val="3">
        <dgm:layoutNode name="ellipse3" styleLbl="vennNode1">
          <dgm:varLst>
            <dgm:bulletEnabled val="1"/>
          </dgm:varLst>
          <dgm:alg type="tx"/>
          <dgm:shape xmlns:r="http://schemas.openxmlformats.org/officeDocument/2006/relationships" type="ellipse" r:blip="">
            <dgm:adjLst/>
          </dgm:shape>
          <dgm:choose name="Name41">
            <dgm:if name="Name42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3 1" cnt="1 0"/>
            </dgm:if>
            <dgm:else name="Name43">
              <dgm:shape xmlns:r="http://schemas.openxmlformats.org/officeDocument/2006/relationships" type="ellipse" r:blip="" zOrderOff="-4">
                <dgm:adjLst/>
              </dgm:shape>
              <dgm:choose name="Name44">
                <dgm:if name="Name45" axis="ch" ptType="node" func="cnt" op="equ" val="3">
                  <dgm:presOf axis="ch desOrSelf" ptType="node node" st="1 1" cnt="1 0"/>
                </dgm:if>
                <dgm:if name="Name46" axis="ch" ptType="node" func="cnt" op="equ" val="4">
                  <dgm:presOf axis="ch desOrSelf" ptType="node node" st="2 1" cnt="1 0"/>
                </dgm:if>
                <dgm:if name="Name47" axis="ch" ptType="node" func="cnt" op="equ" val="5">
                  <dgm:presOf axis="ch desOrSelf" ptType="node node" st="3 1" cnt="1 0"/>
                </dgm:if>
                <dgm:if name="Name48" axis="ch" ptType="node" func="cnt" op="equ" val="6">
                  <dgm:presOf axis="ch desOrSelf" ptType="node node" st="4 1" cnt="1 0"/>
                </dgm:if>
                <dgm:if name="Name49" axis="ch" ptType="node" func="cnt" op="gte" val="7">
                  <dgm:presOf axis="ch desOrSelf" ptType="node node" st="5 1" cnt="1 0"/>
                </dgm:if>
                <dgm:else name="Name50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1"/>
    </dgm:choose>
    <dgm:choose name="Name52">
      <dgm:if name="Name53" axis="ch" ptType="node" func="cnt" op="gte" val="4">
        <dgm:layoutNode name="ellipse4" styleLbl="vennNode1">
          <dgm:varLst>
            <dgm:bulletEnabled val="1"/>
          </dgm:varLst>
          <dgm:alg type="tx"/>
          <dgm:choose name="Name54">
            <dgm:if name="Name55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4 1" cnt="1 0"/>
            </dgm:if>
            <dgm:else name="Name56">
              <dgm:shape xmlns:r="http://schemas.openxmlformats.org/officeDocument/2006/relationships" type="ellipse" r:blip="" zOrderOff="-6">
                <dgm:adjLst/>
              </dgm:shape>
              <dgm:choose name="Name57">
                <dgm:if name="Name58" axis="ch" ptType="node" func="cnt" op="equ" val="4">
                  <dgm:presOf axis="ch desOrSelf" ptType="node node" st="1 1" cnt="1 0"/>
                </dgm:if>
                <dgm:if name="Name59" axis="ch" ptType="node" func="cnt" op="equ" val="5">
                  <dgm:presOf axis="ch desOrSelf" ptType="node node" st="2 1" cnt="1 0"/>
                </dgm:if>
                <dgm:if name="Name60" axis="ch" ptType="node" func="cnt" op="equ" val="6">
                  <dgm:presOf axis="ch desOrSelf" ptType="node node" st="3 1" cnt="1 0"/>
                </dgm:if>
                <dgm:if name="Name61" axis="ch" ptType="node" func="cnt" op="gte" val="7">
                  <dgm:presOf axis="ch desOrSelf" ptType="node node" st="4 1" cnt="1 0"/>
                </dgm:if>
                <dgm:else name="Name62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63"/>
    </dgm:choose>
    <dgm:choose name="Name64">
      <dgm:if name="Name65" axis="ch" ptType="node" func="cnt" op="gte" val="5">
        <dgm:layoutNode name="ellipse5" styleLbl="vennNode1">
          <dgm:varLst>
            <dgm:bulletEnabled val="1"/>
          </dgm:varLst>
          <dgm:alg type="tx"/>
          <dgm:choose name="Name66">
            <dgm:if name="Name67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5 1" cnt="1 0"/>
            </dgm:if>
            <dgm:else name="Name68">
              <dgm:shape xmlns:r="http://schemas.openxmlformats.org/officeDocument/2006/relationships" type="ellipse" r:blip="" zOrderOff="-8">
                <dgm:adjLst/>
              </dgm:shape>
              <dgm:choose name="Name69">
                <dgm:if name="Name70" axis="ch" ptType="node" func="cnt" op="equ" val="5">
                  <dgm:presOf axis="ch desOrSelf" ptType="node node" st="1 1" cnt="1 0"/>
                </dgm:if>
                <dgm:if name="Name71" axis="ch" ptType="node" func="cnt" op="equ" val="6">
                  <dgm:presOf axis="ch desOrSelf" ptType="node node" st="2 1" cnt="1 0"/>
                </dgm:if>
                <dgm:if name="Name72" axis="ch" ptType="node" func="cnt" op="gte" val="7">
                  <dgm:presOf axis="ch desOrSelf" ptType="node node" st="3 1" cnt="1 0"/>
                </dgm:if>
                <dgm:else name="Name73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74"/>
    </dgm:choose>
    <dgm:choose name="Name75">
      <dgm:if name="Name76" axis="ch" ptType="node" func="cnt" op="gte" val="6">
        <dgm:layoutNode name="ellipse6" styleLbl="vennNode1">
          <dgm:varLst>
            <dgm:bulletEnabled val="1"/>
          </dgm:varLst>
          <dgm:alg type="tx"/>
          <dgm:choose name="Name77">
            <dgm:if name="Name78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6 1" cnt="1 0"/>
            </dgm:if>
            <dgm:else name="Name79">
              <dgm:shape xmlns:r="http://schemas.openxmlformats.org/officeDocument/2006/relationships" type="ellipse" r:blip="" zOrderOff="-10">
                <dgm:adjLst/>
              </dgm:shape>
              <dgm:choose name="Name80">
                <dgm:if name="Name81" axis="ch" ptType="node" func="cnt" op="equ" val="6">
                  <dgm:presOf axis="ch desOrSelf" ptType="node node" st="1 1" cnt="1 0"/>
                </dgm:if>
                <dgm:if name="Name82" axis="ch" ptType="node" func="cnt" op="gte" val="7">
                  <dgm:presOf axis="ch desOrSelf" ptType="node node" st="2 1" cnt="1 0"/>
                </dgm:if>
                <dgm:else name="Name83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84"/>
    </dgm:choose>
    <dgm:choose name="Name85">
      <dgm:if name="Name86" axis="ch" ptType="node" func="cnt" op="gte" val="7">
        <dgm:layoutNode name="ellipse7" styleLbl="vennNode1">
          <dgm:varLst>
            <dgm:bulletEnabled val="1"/>
          </dgm:varLst>
          <dgm:alg type="tx"/>
          <dgm:choose name="Name87">
            <dgm:if name="Name88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7 1" cnt="1 0"/>
            </dgm:if>
            <dgm:else name="Name89">
              <dgm:shape xmlns:r="http://schemas.openxmlformats.org/officeDocument/2006/relationships" type="ellipse" r:blip="" zOrderOff="-12">
                <dgm:adjLst/>
              </dgm:shape>
              <dgm:presOf axis="ch desOrSelf" ptType="node node" st="1 1" cnt="1 0"/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90"/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rings+Icon">
  <dgm:title val="Interconnected Rings"/>
  <dgm:desc val="Use to show overlapping or interconnected ideas or concepts. The first seven lines of Level 1 text correspond with a circle. Unused text does not appear, but remains available if you switch layouts.  "/>
  <dgm:catLst>
    <dgm:cat type="relationship" pri="32000"/>
    <dgm:cat type="officeonline" pri="6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0"/>
        <dgm:pt modelId="20"/>
      </dgm:ptLst>
      <dgm:cxnLst>
        <dgm:cxn modelId="30" srcId="0" destId="10" srcOrd="0" destOrd="0"/>
        <dgm:cxn modelId="40" srcId="0" destId="20" srcOrd="1" destOrd="0"/>
      </dgm:cxnLst>
      <dgm:bg/>
      <dgm:whole/>
    </dgm:dataModel>
  </dgm:styleData>
  <dgm:clrData>
    <dgm:dataModel>
      <dgm:ptLst>
        <dgm:pt modelId="0" type="doc"/>
        <dgm:pt modelId="10"/>
        <dgm:pt modelId="20"/>
        <dgm:pt modelId="30"/>
        <dgm:pt modelId="40"/>
      </dgm:ptLst>
      <dgm:cxnLst>
        <dgm:cxn modelId="50" srcId="0" destId="10" srcOrd="0" destOrd="0"/>
        <dgm:cxn modelId="60" srcId="0" destId="20" srcOrd="1" destOrd="0"/>
        <dgm:cxn modelId="70" srcId="0" destId="30" srcOrd="2" destOrd="0"/>
        <dgm:cxn modelId="80" srcId="0" destId="40" srcOrd="2" destOrd="0"/>
      </dgm:cxnLst>
      <dgm:bg/>
      <dgm:whole/>
    </dgm:dataModel>
  </dgm:clrData>
  <dgm:layoutNode name="Name0">
    <dgm:varLst>
      <dgm:chMax val="7"/>
      <dgm:dir/>
      <dgm:resizeHandles val="exact"/>
    </dgm:varLst>
    <dgm:choose name="Name1">
      <dgm:if name="Name2" axis="ch" ptType="node" func="cnt" op="lt" val="1">
        <dgm:alg type="composite"/>
        <dgm:shape xmlns:r="http://schemas.openxmlformats.org/officeDocument/2006/relationships" r:blip="">
          <dgm:adjLst/>
        </dgm:shape>
        <dgm:presOf/>
        <dgm:constrLst/>
        <dgm:ruleLst/>
      </dgm:if>
      <dgm:if name="Name3" axis="ch" ptType="node" func="cnt" op="equ" val="1">
        <dgm:alg type="composite">
          <dgm:param type="ar" val="1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/>
          <dgm:constr type="h" for="ch" forName="ellipse1" refType="h"/>
        </dgm:constrLst>
      </dgm:if>
      <dgm:if name="Name4" axis="ch" ptType="node" func="cnt" op="equ" val="2">
        <dgm:alg type="composite">
          <dgm:param type="ar" val="0.9086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6602"/>
          <dgm:constr type="h" for="ch" forName="ellipse1" refType="h" fact="0.5999"/>
          <dgm:constr type="l" for="ch" forName="ellipse2" refType="w" fact="0.3398"/>
          <dgm:constr type="t" for="ch" forName="ellipse2" refType="h" fact="0.4001"/>
          <dgm:constr type="w" for="ch" forName="ellipse2" refType="w" fact="0.6602"/>
          <dgm:constr type="h" for="ch" forName="ellipse2" refType="h" fact="0.5999"/>
        </dgm:constrLst>
      </dgm:if>
      <dgm:if name="Name5" axis="ch" ptType="node" func="cnt" op="equ" val="3">
        <dgm:alg type="composite">
          <dgm:param type="ar" val="1.2171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4929"/>
          <dgm:constr type="h" for="ch" forName="ellipse1" refType="h" fact="0.5999"/>
          <dgm:constr type="l" for="ch" forName="ellipse2" refType="w" fact="0.2537"/>
          <dgm:constr type="t" for="ch" forName="ellipse2" refType="h" fact="0.4001"/>
          <dgm:constr type="w" for="ch" forName="ellipse2" refType="w" fact="0.4929"/>
          <dgm:constr type="h" for="ch" forName="ellipse2" refType="h" fact="0.5999"/>
          <dgm:constr type="l" for="ch" forName="ellipse3" refType="w" fact="0.5071"/>
          <dgm:constr type="t" for="ch" forName="ellipse3" refType="h" fact="0"/>
          <dgm:constr type="w" for="ch" forName="ellipse3" refType="w" fact="0.4929"/>
          <dgm:constr type="h" for="ch" forName="ellipse3" refType="h" fact="0.5999"/>
        </dgm:constrLst>
      </dgm:if>
      <dgm:if name="Name6" axis="ch" ptType="node" func="cnt" op="equ" val="4">
        <dgm:alg type="composite">
          <dgm:param type="ar" val="1.5255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3932"/>
          <dgm:constr type="h" for="ch" forName="ellipse1" refType="h" fact="0.5999"/>
          <dgm:constr type="l" for="ch" forName="ellipse2" refType="w" fact="0.2023"/>
          <dgm:constr type="t" for="ch" forName="ellipse2" refType="h" fact="0.4001"/>
          <dgm:constr type="w" for="ch" forName="ellipse2" refType="w" fact="0.3932"/>
          <dgm:constr type="h" for="ch" forName="ellipse2" refType="h" fact="0.5999"/>
          <dgm:constr type="l" for="ch" forName="ellipse3" refType="w" fact="0.4045"/>
          <dgm:constr type="t" for="ch" forName="ellipse3" refType="h" fact="0"/>
          <dgm:constr type="w" for="ch" forName="ellipse3" refType="w" fact="0.3932"/>
          <dgm:constr type="h" for="ch" forName="ellipse3" refType="h" fact="0.5999"/>
          <dgm:constr type="l" for="ch" forName="ellipse4" refType="w" fact="0.6068"/>
          <dgm:constr type="t" for="ch" forName="ellipse4" refType="h" fact="0.4001"/>
          <dgm:constr type="w" for="ch" forName="ellipse4" refType="w" fact="0.3932"/>
          <dgm:constr type="h" for="ch" forName="ellipse4" refType="h" fact="0.5999"/>
        </dgm:constrLst>
      </dgm:if>
      <dgm:if name="Name7" axis="ch" ptType="node" func="cnt" op="equ" val="5">
        <dgm:alg type="composite">
          <dgm:param type="ar" val="1.834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3271"/>
          <dgm:constr type="h" for="ch" forName="ellipse1" refType="h" fact="0.5999"/>
          <dgm:constr type="l" for="ch" forName="ellipse2" refType="w" fact="0.1682"/>
          <dgm:constr type="t" for="ch" forName="ellipse2" refType="h" fact="0.4001"/>
          <dgm:constr type="w" for="ch" forName="ellipse2" refType="w" fact="0.3271"/>
          <dgm:constr type="h" for="ch" forName="ellipse2" refType="h" fact="0.5999"/>
          <dgm:constr type="l" for="ch" forName="ellipse3" refType="w" fact="0.3365"/>
          <dgm:constr type="t" for="ch" forName="ellipse3" refType="h" fact="0"/>
          <dgm:constr type="w" for="ch" forName="ellipse3" refType="w" fact="0.3271"/>
          <dgm:constr type="h" for="ch" forName="ellipse3" refType="h" fact="0.5999"/>
          <dgm:constr type="l" for="ch" forName="ellipse4" refType="w" fact="0.5047"/>
          <dgm:constr type="t" for="ch" forName="ellipse4" refType="h" fact="0.4001"/>
          <dgm:constr type="w" for="ch" forName="ellipse4" refType="w" fact="0.3271"/>
          <dgm:constr type="h" for="ch" forName="ellipse4" refType="h" fact="0.5999"/>
          <dgm:constr type="l" for="ch" forName="ellipse5" refType="w" fact="0.6729"/>
          <dgm:constr type="t" for="ch" forName="ellipse5" refType="h" fact="0"/>
          <dgm:constr type="w" for="ch" forName="ellipse5" refType="w" fact="0.3271"/>
          <dgm:constr type="h" for="ch" forName="ellipse5" refType="h" fact="0.5999"/>
        </dgm:constrLst>
      </dgm:if>
      <dgm:if name="Name8" axis="ch" ptType="node" func="cnt" op="equ" val="6">
        <dgm:alg type="composite">
          <dgm:param type="ar" val="2.1873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278"/>
          <dgm:constr type="h" for="ch" forName="ellipse1" refType="h" fact="0.6081"/>
          <dgm:constr type="l" for="ch" forName="ellipse2" refType="w" fact="0.1444"/>
          <dgm:constr type="t" for="ch" forName="ellipse2" refType="h" fact="0.3919"/>
          <dgm:constr type="w" for="ch" forName="ellipse2" refType="w" fact="0.278"/>
          <dgm:constr type="h" for="ch" forName="ellipse2" refType="h" fact="0.6081"/>
          <dgm:constr type="l" for="ch" forName="ellipse3" refType="w" fact="0.2888"/>
          <dgm:constr type="t" for="ch" forName="ellipse3" refType="h" fact="0"/>
          <dgm:constr type="w" for="ch" forName="ellipse3" refType="w" fact="0.278"/>
          <dgm:constr type="h" for="ch" forName="ellipse3" refType="h" fact="0.6081"/>
          <dgm:constr type="l" for="ch" forName="ellipse4" refType="w" fact="0.4332"/>
          <dgm:constr type="t" for="ch" forName="ellipse4" refType="h" fact="0.3919"/>
          <dgm:constr type="w" for="ch" forName="ellipse4" refType="w" fact="0.278"/>
          <dgm:constr type="h" for="ch" forName="ellipse4" refType="h" fact="0.6081"/>
          <dgm:constr type="l" for="ch" forName="ellipse5" refType="w" fact="0.5776"/>
          <dgm:constr type="t" for="ch" forName="ellipse5" refType="h" fact="0"/>
          <dgm:constr type="w" for="ch" forName="ellipse5" refType="w" fact="0.278"/>
          <dgm:constr type="h" for="ch" forName="ellipse5" refType="h" fact="0.6081"/>
          <dgm:constr type="l" for="ch" forName="ellipse6" refType="w" fact="0.722"/>
          <dgm:constr type="t" for="ch" forName="ellipse6" refType="h" fact="0.3919"/>
          <dgm:constr type="w" for="ch" forName="ellipse6" refType="w" fact="0.278"/>
          <dgm:constr type="h" for="ch" forName="ellipse6" refType="h" fact="0.6081"/>
        </dgm:constrLst>
      </dgm:if>
      <dgm:else name="Name9">
        <dgm:alg type="composite">
          <dgm:param type="ar" val="2.3466"/>
        </dgm:alg>
        <dgm:shape xmlns:r="http://schemas.openxmlformats.org/officeDocument/2006/relationships" r:blip="">
          <dgm:adjLst/>
        </dgm:shape>
        <dgm:presOf/>
        <dgm:constrLst>
          <dgm:constr type="primFontSz" for="des" ptType="node" op="equ" val="65"/>
          <dgm:constr type="l" for="ch" forName="ellipse1" refType="w" fact="0"/>
          <dgm:constr type="t" for="ch" forName="ellipse1" refType="h" fact="0"/>
          <dgm:constr type="w" for="ch" forName="ellipse1" refType="w" fact="0.2455"/>
          <dgm:constr type="h" for="ch" forName="ellipse1" refType="h" fact="0.5761"/>
          <dgm:constr type="l" for="ch" forName="ellipse2" refType="w" fact="0.1257"/>
          <dgm:constr type="t" for="ch" forName="ellipse2" refType="h" fact="0.4239"/>
          <dgm:constr type="w" for="ch" forName="ellipse2" refType="w" fact="0.2455"/>
          <dgm:constr type="h" for="ch" forName="ellipse2" refType="h" fact="0.5761"/>
          <dgm:constr type="l" for="ch" forName="ellipse3" refType="w" fact="0.2515"/>
          <dgm:constr type="t" for="ch" forName="ellipse3" refType="h" fact="0"/>
          <dgm:constr type="w" for="ch" forName="ellipse3" refType="w" fact="0.2455"/>
          <dgm:constr type="h" for="ch" forName="ellipse3" refType="h" fact="0.5761"/>
          <dgm:constr type="l" for="ch" forName="ellipse4" refType="w" fact="0.3772"/>
          <dgm:constr type="t" for="ch" forName="ellipse4" refType="h" fact="0.4239"/>
          <dgm:constr type="w" for="ch" forName="ellipse4" refType="w" fact="0.2455"/>
          <dgm:constr type="h" for="ch" forName="ellipse4" refType="h" fact="0.5761"/>
          <dgm:constr type="l" for="ch" forName="ellipse5" refType="w" fact="0.503"/>
          <dgm:constr type="t" for="ch" forName="ellipse5" refType="h" fact="0"/>
          <dgm:constr type="w" for="ch" forName="ellipse5" refType="w" fact="0.2455"/>
          <dgm:constr type="h" for="ch" forName="ellipse5" refType="h" fact="0.5761"/>
          <dgm:constr type="l" for="ch" forName="ellipse6" refType="w" fact="0.6287"/>
          <dgm:constr type="t" for="ch" forName="ellipse6" refType="h" fact="0.4239"/>
          <dgm:constr type="w" for="ch" forName="ellipse6" refType="w" fact="0.2455"/>
          <dgm:constr type="h" for="ch" forName="ellipse6" refType="h" fact="0.5761"/>
          <dgm:constr type="l" for="ch" forName="ellipse7" refType="w" fact="0.7545"/>
          <dgm:constr type="t" for="ch" forName="ellipse7" refType="h" fact="0"/>
          <dgm:constr type="w" for="ch" forName="ellipse7" refType="w" fact="0.2455"/>
          <dgm:constr type="h" for="ch" forName="ellipse7" refType="h" fact="0.5761"/>
        </dgm:constrLst>
      </dgm:else>
    </dgm:choose>
    <dgm:choose name="Name10">
      <dgm:if name="Name11" axis="ch" ptType="node" func="cnt" op="gte" val="1">
        <dgm:layoutNode name="ellipse1" styleLbl="vennNode1">
          <dgm:varLst>
            <dgm:bulletEnabled val="1"/>
          </dgm:varLst>
          <dgm:alg type="tx"/>
          <dgm:shape xmlns:r="http://schemas.openxmlformats.org/officeDocument/2006/relationships" type="ellipse" r:blip="">
            <dgm:adjLst/>
          </dgm:shape>
          <dgm:choose name="Name12">
            <dgm:if name="Name13" func="var" arg="dir" op="equ" val="norm">
              <dgm:presOf axis="ch desOrSelf" ptType="node node" st="1 1" cnt="1 0"/>
            </dgm:if>
            <dgm:else name="Name14">
              <dgm:choose name="Name15">
                <dgm:if name="Name16" axis="ch" ptType="node" func="cnt" op="equ" val="1">
                  <dgm:presOf axis="ch desOrSelf" ptType="node node" st="1 1" cnt="1 0"/>
                </dgm:if>
                <dgm:if name="Name17" axis="ch" ptType="node" func="cnt" op="equ" val="2">
                  <dgm:presOf axis="ch desOrSelf" ptType="node node" st="2 1" cnt="1 0"/>
                </dgm:if>
                <dgm:if name="Name18" axis="ch" ptType="node" func="cnt" op="equ" val="3">
                  <dgm:presOf axis="ch desOrSelf" ptType="node node" st="3 1" cnt="1 0"/>
                </dgm:if>
                <dgm:if name="Name19" axis="ch" ptType="node" func="cnt" op="equ" val="4">
                  <dgm:presOf axis="ch desOrSelf" ptType="node node" st="4 1" cnt="1 0"/>
                </dgm:if>
                <dgm:if name="Name20" axis="ch" ptType="node" func="cnt" op="equ" val="5">
                  <dgm:presOf axis="ch desOrSelf" ptType="node node" st="5 1" cnt="1 0"/>
                </dgm:if>
                <dgm:if name="Name21" axis="ch" ptType="node" func="cnt" op="equ" val="6">
                  <dgm:presOf axis="ch desOrSelf" ptType="node node" st="6 1" cnt="1 0"/>
                </dgm:if>
                <dgm:if name="Name22" axis="ch" ptType="node" func="cnt" op="gte" val="7">
                  <dgm:presOf axis="ch desOrSelf" ptType="node node" st="7 1" cnt="1 0"/>
                </dgm:if>
                <dgm:else name="Name23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24"/>
    </dgm:choose>
    <dgm:choose name="Name25">
      <dgm:if name="Name26" axis="ch" ptType="node" func="cnt" op="gte" val="2">
        <dgm:layoutNode name="ellipse2" styleLbl="vennNode1">
          <dgm:varLst>
            <dgm:bulletEnabled val="1"/>
          </dgm:varLst>
          <dgm:alg type="tx"/>
          <dgm:choose name="Name27">
            <dgm:if name="Name28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2 1" cnt="1 0"/>
            </dgm:if>
            <dgm:else name="Name29">
              <dgm:shape xmlns:r="http://schemas.openxmlformats.org/officeDocument/2006/relationships" type="ellipse" r:blip="" zOrderOff="-2">
                <dgm:adjLst/>
              </dgm:shape>
              <dgm:choose name="Name30">
                <dgm:if name="Name31" axis="ch" ptType="node" func="cnt" op="equ" val="2">
                  <dgm:presOf axis="ch desOrSelf" ptType="node node" st="1 1" cnt="1 0"/>
                </dgm:if>
                <dgm:if name="Name32" axis="ch" ptType="node" func="cnt" op="equ" val="3">
                  <dgm:presOf axis="ch desOrSelf" ptType="node node" st="2 1" cnt="1 0"/>
                </dgm:if>
                <dgm:if name="Name33" axis="ch" ptType="node" func="cnt" op="equ" val="4">
                  <dgm:presOf axis="ch desOrSelf" ptType="node node" st="3 1" cnt="1 0"/>
                </dgm:if>
                <dgm:if name="Name34" axis="ch" ptType="node" func="cnt" op="equ" val="5">
                  <dgm:presOf axis="ch desOrSelf" ptType="node node" st="4 1" cnt="1 0"/>
                </dgm:if>
                <dgm:if name="Name35" axis="ch" ptType="node" func="cnt" op="equ" val="6">
                  <dgm:presOf axis="ch desOrSelf" ptType="node node" st="5 1" cnt="1 0"/>
                </dgm:if>
                <dgm:if name="Name36" axis="ch" ptType="node" func="cnt" op="gte" val="7">
                  <dgm:presOf axis="ch desOrSelf" ptType="node node" st="6 1" cnt="1 0"/>
                </dgm:if>
                <dgm:else name="Name37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38"/>
    </dgm:choose>
    <dgm:choose name="Name39">
      <dgm:if name="Name40" axis="ch" ptType="node" func="cnt" op="gte" val="3">
        <dgm:layoutNode name="ellipse3" styleLbl="vennNode1">
          <dgm:varLst>
            <dgm:bulletEnabled val="1"/>
          </dgm:varLst>
          <dgm:alg type="tx"/>
          <dgm:shape xmlns:r="http://schemas.openxmlformats.org/officeDocument/2006/relationships" type="ellipse" r:blip="">
            <dgm:adjLst/>
          </dgm:shape>
          <dgm:choose name="Name41">
            <dgm:if name="Name42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3 1" cnt="1 0"/>
            </dgm:if>
            <dgm:else name="Name43">
              <dgm:shape xmlns:r="http://schemas.openxmlformats.org/officeDocument/2006/relationships" type="ellipse" r:blip="" zOrderOff="-4">
                <dgm:adjLst/>
              </dgm:shape>
              <dgm:choose name="Name44">
                <dgm:if name="Name45" axis="ch" ptType="node" func="cnt" op="equ" val="3">
                  <dgm:presOf axis="ch desOrSelf" ptType="node node" st="1 1" cnt="1 0"/>
                </dgm:if>
                <dgm:if name="Name46" axis="ch" ptType="node" func="cnt" op="equ" val="4">
                  <dgm:presOf axis="ch desOrSelf" ptType="node node" st="2 1" cnt="1 0"/>
                </dgm:if>
                <dgm:if name="Name47" axis="ch" ptType="node" func="cnt" op="equ" val="5">
                  <dgm:presOf axis="ch desOrSelf" ptType="node node" st="3 1" cnt="1 0"/>
                </dgm:if>
                <dgm:if name="Name48" axis="ch" ptType="node" func="cnt" op="equ" val="6">
                  <dgm:presOf axis="ch desOrSelf" ptType="node node" st="4 1" cnt="1 0"/>
                </dgm:if>
                <dgm:if name="Name49" axis="ch" ptType="node" func="cnt" op="gte" val="7">
                  <dgm:presOf axis="ch desOrSelf" ptType="node node" st="5 1" cnt="1 0"/>
                </dgm:if>
                <dgm:else name="Name50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1"/>
    </dgm:choose>
    <dgm:choose name="Name52">
      <dgm:if name="Name53" axis="ch" ptType="node" func="cnt" op="gte" val="4">
        <dgm:layoutNode name="ellipse4" styleLbl="vennNode1">
          <dgm:varLst>
            <dgm:bulletEnabled val="1"/>
          </dgm:varLst>
          <dgm:alg type="tx"/>
          <dgm:choose name="Name54">
            <dgm:if name="Name55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4 1" cnt="1 0"/>
            </dgm:if>
            <dgm:else name="Name56">
              <dgm:shape xmlns:r="http://schemas.openxmlformats.org/officeDocument/2006/relationships" type="ellipse" r:blip="" zOrderOff="-6">
                <dgm:adjLst/>
              </dgm:shape>
              <dgm:choose name="Name57">
                <dgm:if name="Name58" axis="ch" ptType="node" func="cnt" op="equ" val="4">
                  <dgm:presOf axis="ch desOrSelf" ptType="node node" st="1 1" cnt="1 0"/>
                </dgm:if>
                <dgm:if name="Name59" axis="ch" ptType="node" func="cnt" op="equ" val="5">
                  <dgm:presOf axis="ch desOrSelf" ptType="node node" st="2 1" cnt="1 0"/>
                </dgm:if>
                <dgm:if name="Name60" axis="ch" ptType="node" func="cnt" op="equ" val="6">
                  <dgm:presOf axis="ch desOrSelf" ptType="node node" st="3 1" cnt="1 0"/>
                </dgm:if>
                <dgm:if name="Name61" axis="ch" ptType="node" func="cnt" op="gte" val="7">
                  <dgm:presOf axis="ch desOrSelf" ptType="node node" st="4 1" cnt="1 0"/>
                </dgm:if>
                <dgm:else name="Name62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63"/>
    </dgm:choose>
    <dgm:choose name="Name64">
      <dgm:if name="Name65" axis="ch" ptType="node" func="cnt" op="gte" val="5">
        <dgm:layoutNode name="ellipse5" styleLbl="vennNode1">
          <dgm:varLst>
            <dgm:bulletEnabled val="1"/>
          </dgm:varLst>
          <dgm:alg type="tx"/>
          <dgm:choose name="Name66">
            <dgm:if name="Name67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5 1" cnt="1 0"/>
            </dgm:if>
            <dgm:else name="Name68">
              <dgm:shape xmlns:r="http://schemas.openxmlformats.org/officeDocument/2006/relationships" type="ellipse" r:blip="" zOrderOff="-8">
                <dgm:adjLst/>
              </dgm:shape>
              <dgm:choose name="Name69">
                <dgm:if name="Name70" axis="ch" ptType="node" func="cnt" op="equ" val="5">
                  <dgm:presOf axis="ch desOrSelf" ptType="node node" st="1 1" cnt="1 0"/>
                </dgm:if>
                <dgm:if name="Name71" axis="ch" ptType="node" func="cnt" op="equ" val="6">
                  <dgm:presOf axis="ch desOrSelf" ptType="node node" st="2 1" cnt="1 0"/>
                </dgm:if>
                <dgm:if name="Name72" axis="ch" ptType="node" func="cnt" op="gte" val="7">
                  <dgm:presOf axis="ch desOrSelf" ptType="node node" st="3 1" cnt="1 0"/>
                </dgm:if>
                <dgm:else name="Name73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74"/>
    </dgm:choose>
    <dgm:choose name="Name75">
      <dgm:if name="Name76" axis="ch" ptType="node" func="cnt" op="gte" val="6">
        <dgm:layoutNode name="ellipse6" styleLbl="vennNode1">
          <dgm:varLst>
            <dgm:bulletEnabled val="1"/>
          </dgm:varLst>
          <dgm:alg type="tx"/>
          <dgm:choose name="Name77">
            <dgm:if name="Name78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6 1" cnt="1 0"/>
            </dgm:if>
            <dgm:else name="Name79">
              <dgm:shape xmlns:r="http://schemas.openxmlformats.org/officeDocument/2006/relationships" type="ellipse" r:blip="" zOrderOff="-10">
                <dgm:adjLst/>
              </dgm:shape>
              <dgm:choose name="Name80">
                <dgm:if name="Name81" axis="ch" ptType="node" func="cnt" op="equ" val="6">
                  <dgm:presOf axis="ch desOrSelf" ptType="node node" st="1 1" cnt="1 0"/>
                </dgm:if>
                <dgm:if name="Name82" axis="ch" ptType="node" func="cnt" op="gte" val="7">
                  <dgm:presOf axis="ch desOrSelf" ptType="node node" st="2 1" cnt="1 0"/>
                </dgm:if>
                <dgm:else name="Name83"/>
              </dgm:choose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84"/>
    </dgm:choose>
    <dgm:choose name="Name85">
      <dgm:if name="Name86" axis="ch" ptType="node" func="cnt" op="gte" val="7">
        <dgm:layoutNode name="ellipse7" styleLbl="vennNode1">
          <dgm:varLst>
            <dgm:bulletEnabled val="1"/>
          </dgm:varLst>
          <dgm:alg type="tx"/>
          <dgm:choose name="Name87">
            <dgm:if name="Name88" func="var" arg="dir" op="equ" val="norm">
              <dgm:shape xmlns:r="http://schemas.openxmlformats.org/officeDocument/2006/relationships" type="ellipse" r:blip="">
                <dgm:adjLst/>
              </dgm:shape>
              <dgm:presOf axis="ch desOrSelf" ptType="node node" st="7 1" cnt="1 0"/>
            </dgm:if>
            <dgm:else name="Name89">
              <dgm:shape xmlns:r="http://schemas.openxmlformats.org/officeDocument/2006/relationships" type="ellipse" r:blip="" zOrderOff="-12">
                <dgm:adjLst/>
              </dgm:shape>
              <dgm:presOf axis="ch desOrSelf" ptType="node node" st="1 1" cnt="1 0"/>
            </dgm:else>
          </dgm:choose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90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hyperlink" Target="#SETTINGS!A1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hyperlink" Target="#'MASTER-SHEET'!A1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2</xdr:row>
      <xdr:rowOff>19052</xdr:rowOff>
    </xdr:from>
    <xdr:to>
      <xdr:col>8</xdr:col>
      <xdr:colOff>161924</xdr:colOff>
      <xdr:row>8</xdr:row>
      <xdr:rowOff>85726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7674" y="419102"/>
          <a:ext cx="4886325" cy="1266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latin typeface="Algerian" panose="04020705040A02060702" pitchFamily="82" charset="0"/>
            </a:rPr>
            <a:t>SCHOOL BASED ASSESSMENT </a:t>
          </a:r>
        </a:p>
        <a:p>
          <a:pPr algn="ctr"/>
          <a:r>
            <a:rPr lang="en-US" sz="1600" b="1">
              <a:latin typeface="Algerian" panose="04020705040A02060702" pitchFamily="82" charset="0"/>
            </a:rPr>
            <a:t>(SBA) for upper primary SCHOOLS</a:t>
          </a:r>
        </a:p>
        <a:p>
          <a:endParaRPr lang="en-US" sz="1600">
            <a:latin typeface="Algerian" panose="04020705040A02060702" pitchFamily="82" charset="0"/>
          </a:endParaRPr>
        </a:p>
        <a:p>
          <a:pPr algn="ctr"/>
          <a:r>
            <a:rPr lang="en-US" sz="1600">
              <a:solidFill>
                <a:srgbClr val="7030A0"/>
              </a:solidFill>
              <a:latin typeface="Algerian" panose="04020705040A02060702" pitchFamily="82" charset="0"/>
            </a:rPr>
            <a:t>TERMLY</a:t>
          </a:r>
          <a:r>
            <a:rPr lang="en-US" sz="1600" baseline="0">
              <a:solidFill>
                <a:srgbClr val="7030A0"/>
              </a:solidFill>
              <a:latin typeface="Algerian" panose="04020705040A02060702" pitchFamily="82" charset="0"/>
            </a:rPr>
            <a:t> ASSESSMENT RECORDING SHEET</a:t>
          </a:r>
          <a:endParaRPr lang="en-GH" sz="1600">
            <a:solidFill>
              <a:srgbClr val="7030A0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457199</xdr:colOff>
      <xdr:row>9</xdr:row>
      <xdr:rowOff>9525</xdr:rowOff>
    </xdr:from>
    <xdr:to>
      <xdr:col>8</xdr:col>
      <xdr:colOff>152400</xdr:colOff>
      <xdr:row>13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57199" y="1609725"/>
          <a:ext cx="4867276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DEVELOPED BY ASKA ©️2023</a:t>
          </a:r>
        </a:p>
        <a:p>
          <a:r>
            <a:rPr lang="en-US" sz="1100" b="1"/>
            <a:t>CONTACT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✉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1100"/>
            <a:t>kwekuasiedu315@gmail.com</a:t>
          </a:r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📞  </a:t>
          </a:r>
          <a:r>
            <a:rPr lang="en-US" sz="1100" baseline="0"/>
            <a:t>+233</a:t>
          </a:r>
          <a:r>
            <a:rPr lang="en-US" sz="1100"/>
            <a:t>550683972</a:t>
          </a:r>
          <a:endParaRPr lang="en-GH" sz="1100"/>
        </a:p>
      </xdr:txBody>
    </xdr:sp>
    <xdr:clientData/>
  </xdr:twoCellAnchor>
  <xdr:twoCellAnchor>
    <xdr:from>
      <xdr:col>0</xdr:col>
      <xdr:colOff>742950</xdr:colOff>
      <xdr:row>13</xdr:row>
      <xdr:rowOff>200024</xdr:rowOff>
    </xdr:from>
    <xdr:to>
      <xdr:col>1</xdr:col>
      <xdr:colOff>590550</xdr:colOff>
      <xdr:row>14</xdr:row>
      <xdr:rowOff>190500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742950" y="2800349"/>
          <a:ext cx="752475" cy="190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/>
            <a:t>CLASS</a:t>
          </a:r>
          <a:r>
            <a:rPr lang="en-US" sz="1600"/>
            <a:t>:</a:t>
          </a:r>
          <a:endParaRPr lang="en-GH" sz="1600"/>
        </a:p>
      </xdr:txBody>
    </xdr:sp>
    <xdr:clientData/>
  </xdr:twoCellAnchor>
  <xdr:twoCellAnchor>
    <xdr:from>
      <xdr:col>0</xdr:col>
      <xdr:colOff>762000</xdr:colOff>
      <xdr:row>16</xdr:row>
      <xdr:rowOff>19050</xdr:rowOff>
    </xdr:from>
    <xdr:to>
      <xdr:col>2</xdr:col>
      <xdr:colOff>9525</xdr:colOff>
      <xdr:row>16</xdr:row>
      <xdr:rowOff>190500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762000" y="3219450"/>
          <a:ext cx="762000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200"/>
            <a:t>TERM:</a:t>
          </a:r>
          <a:endParaRPr lang="en-GH" sz="1200"/>
        </a:p>
      </xdr:txBody>
    </xdr:sp>
    <xdr:clientData/>
  </xdr:twoCellAnchor>
  <xdr:twoCellAnchor>
    <xdr:from>
      <xdr:col>4</xdr:col>
      <xdr:colOff>400050</xdr:colOff>
      <xdr:row>13</xdr:row>
      <xdr:rowOff>190499</xdr:rowOff>
    </xdr:from>
    <xdr:to>
      <xdr:col>6</xdr:col>
      <xdr:colOff>371475</xdr:colOff>
      <xdr:row>15</xdr:row>
      <xdr:rowOff>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133725" y="2790824"/>
          <a:ext cx="1581150" cy="2095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/>
            <a:t>CLASS SIZE</a:t>
          </a:r>
          <a:r>
            <a:rPr lang="en-US" sz="1600"/>
            <a:t>:</a:t>
          </a:r>
          <a:endParaRPr lang="en-GH" sz="1600"/>
        </a:p>
      </xdr:txBody>
    </xdr:sp>
    <xdr:clientData/>
  </xdr:twoCellAnchor>
  <xdr:twoCellAnchor>
    <xdr:from>
      <xdr:col>0</xdr:col>
      <xdr:colOff>19050</xdr:colOff>
      <xdr:row>20</xdr:row>
      <xdr:rowOff>19049</xdr:rowOff>
    </xdr:from>
    <xdr:to>
      <xdr:col>1</xdr:col>
      <xdr:colOff>600076</xdr:colOff>
      <xdr:row>20</xdr:row>
      <xdr:rowOff>228600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9050" y="4000499"/>
          <a:ext cx="1485901" cy="2095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/>
            <a:t>SCHOOL:</a:t>
          </a:r>
          <a:endParaRPr lang="en-GH" sz="1600"/>
        </a:p>
      </xdr:txBody>
    </xdr:sp>
    <xdr:clientData/>
  </xdr:twoCellAnchor>
  <xdr:twoCellAnchor>
    <xdr:from>
      <xdr:col>0</xdr:col>
      <xdr:colOff>762000</xdr:colOff>
      <xdr:row>15</xdr:row>
      <xdr:rowOff>9526</xdr:rowOff>
    </xdr:from>
    <xdr:to>
      <xdr:col>9</xdr:col>
      <xdr:colOff>9525</xdr:colOff>
      <xdr:row>15</xdr:row>
      <xdr:rowOff>9526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762000" y="3009901"/>
          <a:ext cx="5029200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</xdr:colOff>
      <xdr:row>21</xdr:row>
      <xdr:rowOff>19050</xdr:rowOff>
    </xdr:from>
    <xdr:to>
      <xdr:col>8</xdr:col>
      <xdr:colOff>600075</xdr:colOff>
      <xdr:row>21</xdr:row>
      <xdr:rowOff>28575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28575" y="4200525"/>
          <a:ext cx="5743575" cy="9525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390525</xdr:colOff>
      <xdr:row>18</xdr:row>
      <xdr:rowOff>19050</xdr:rowOff>
    </xdr:from>
    <xdr:to>
      <xdr:col>6</xdr:col>
      <xdr:colOff>361950</xdr:colOff>
      <xdr:row>18</xdr:row>
      <xdr:rowOff>190500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3124200" y="3619500"/>
          <a:ext cx="1190625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/>
            <a:t>REOPEN</a:t>
          </a:r>
          <a:r>
            <a:rPr lang="en-US" sz="1200" baseline="0"/>
            <a:t> DATE</a:t>
          </a:r>
          <a:r>
            <a:rPr lang="en-US" sz="1200"/>
            <a:t>:</a:t>
          </a:r>
          <a:endParaRPr lang="en-GH" sz="1200"/>
        </a:p>
      </xdr:txBody>
    </xdr:sp>
    <xdr:clientData/>
  </xdr:twoCellAnchor>
  <xdr:twoCellAnchor>
    <xdr:from>
      <xdr:col>0</xdr:col>
      <xdr:colOff>38100</xdr:colOff>
      <xdr:row>18</xdr:row>
      <xdr:rowOff>9525</xdr:rowOff>
    </xdr:from>
    <xdr:to>
      <xdr:col>2</xdr:col>
      <xdr:colOff>0</xdr:colOff>
      <xdr:row>18</xdr:row>
      <xdr:rowOff>180975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38100" y="3609975"/>
          <a:ext cx="1476375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/>
            <a:t>VACATION</a:t>
          </a:r>
          <a:r>
            <a:rPr lang="en-US" sz="1200" baseline="0"/>
            <a:t> DATE:</a:t>
          </a:r>
          <a:endParaRPr lang="en-GH" sz="1600"/>
        </a:p>
      </xdr:txBody>
    </xdr:sp>
    <xdr:clientData/>
  </xdr:twoCellAnchor>
  <xdr:twoCellAnchor>
    <xdr:from>
      <xdr:col>4</xdr:col>
      <xdr:colOff>390525</xdr:colOff>
      <xdr:row>16</xdr:row>
      <xdr:rowOff>0</xdr:rowOff>
    </xdr:from>
    <xdr:to>
      <xdr:col>6</xdr:col>
      <xdr:colOff>352425</xdr:colOff>
      <xdr:row>16</xdr:row>
      <xdr:rowOff>190500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124200" y="3200400"/>
          <a:ext cx="1181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 baseline="0"/>
            <a:t>ATTENDANCE</a:t>
          </a:r>
          <a:r>
            <a:rPr lang="en-US" sz="1600"/>
            <a:t>:</a:t>
          </a:r>
          <a:endParaRPr lang="en-GH" sz="1600"/>
        </a:p>
      </xdr:txBody>
    </xdr:sp>
    <xdr:clientData/>
  </xdr:twoCellAnchor>
  <xdr:twoCellAnchor>
    <xdr:from>
      <xdr:col>0</xdr:col>
      <xdr:colOff>790575</xdr:colOff>
      <xdr:row>17</xdr:row>
      <xdr:rowOff>12752</xdr:rowOff>
    </xdr:from>
    <xdr:to>
      <xdr:col>8</xdr:col>
      <xdr:colOff>580200</xdr:colOff>
      <xdr:row>17</xdr:row>
      <xdr:rowOff>12752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790575" y="3413177"/>
          <a:ext cx="4961700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361949</xdr:colOff>
      <xdr:row>13</xdr:row>
      <xdr:rowOff>19050</xdr:rowOff>
    </xdr:from>
    <xdr:to>
      <xdr:col>4</xdr:col>
      <xdr:colOff>371475</xdr:colOff>
      <xdr:row>19</xdr:row>
      <xdr:rowOff>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3095624" y="2619375"/>
          <a:ext cx="9526" cy="1200150"/>
        </a:xfrm>
        <a:prstGeom prst="line">
          <a:avLst/>
        </a:prstGeom>
        <a:ln w="76200">
          <a:solidFill>
            <a:schemeClr val="accent6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19</xdr:row>
      <xdr:rowOff>9525</xdr:rowOff>
    </xdr:from>
    <xdr:to>
      <xdr:col>9</xdr:col>
      <xdr:colOff>0</xdr:colOff>
      <xdr:row>19</xdr:row>
      <xdr:rowOff>19050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38100" y="3810000"/>
          <a:ext cx="5743575" cy="9525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21</xdr:row>
      <xdr:rowOff>190500</xdr:rowOff>
    </xdr:from>
    <xdr:to>
      <xdr:col>1</xdr:col>
      <xdr:colOff>590551</xdr:colOff>
      <xdr:row>23</xdr:row>
      <xdr:rowOff>38100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9525" y="4371975"/>
          <a:ext cx="1485901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r"/>
          <a:r>
            <a:rPr lang="en-US" sz="1200"/>
            <a:t>PASS MARK (%) </a:t>
          </a:r>
          <a:endParaRPr lang="en-GH" sz="1600"/>
        </a:p>
      </xdr:txBody>
    </xdr:sp>
    <xdr:clientData/>
  </xdr:twoCellAnchor>
  <xdr:twoCellAnchor>
    <xdr:from>
      <xdr:col>0</xdr:col>
      <xdr:colOff>9525</xdr:colOff>
      <xdr:row>23</xdr:row>
      <xdr:rowOff>66675</xdr:rowOff>
    </xdr:from>
    <xdr:to>
      <xdr:col>8</xdr:col>
      <xdr:colOff>581025</xdr:colOff>
      <xdr:row>23</xdr:row>
      <xdr:rowOff>76200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>
          <a:off x="9525" y="4686300"/>
          <a:ext cx="5743575" cy="9525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409575</xdr:colOff>
      <xdr:row>27</xdr:row>
      <xdr:rowOff>47625</xdr:rowOff>
    </xdr:from>
    <xdr:to>
      <xdr:col>8</xdr:col>
      <xdr:colOff>257177</xdr:colOff>
      <xdr:row>38</xdr:row>
      <xdr:rowOff>80961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409575" y="5467350"/>
          <a:ext cx="5019677" cy="2233611"/>
          <a:chOff x="409574" y="5191125"/>
          <a:chExt cx="5019677" cy="2233611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1076327" y="5534024"/>
            <a:ext cx="4352924" cy="1890712"/>
            <a:chOff x="1152527" y="2809874"/>
            <a:chExt cx="4352924" cy="1890712"/>
          </a:xfrm>
        </xdr:grpSpPr>
        <xdr:graphicFrame macro="">
          <xdr:nvGraphicFramePr>
            <xdr:cNvPr id="41" name="Diagram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GraphicFramePr/>
          </xdr:nvGraphicFramePr>
          <xdr:xfrm>
            <a:off x="1152527" y="2809874"/>
            <a:ext cx="4352924" cy="1166812"/>
          </xdr:xfrm>
          <a:graphic>
            <a:graphicData uri="http://schemas.openxmlformats.org/drawingml/2006/diagram">
              <dgm:relIds xmlns:dgm="http://schemas.openxmlformats.org/drawingml/2006/diagram" xmlns:r="http://schemas.openxmlformats.org/officeDocument/2006/relationships" r:dm="rId1" r:lo="rId2" r:qs="rId3" r:cs="rId4"/>
            </a:graphicData>
          </a:graphic>
        </xdr:graphicFrame>
        <xdr:graphicFrame macro="">
          <xdr:nvGraphicFramePr>
            <xdr:cNvPr id="42" name="Diagram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GraphicFramePr/>
          </xdr:nvGraphicFramePr>
          <xdr:xfrm>
            <a:off x="1238249" y="3533774"/>
            <a:ext cx="4095751" cy="1166812"/>
          </xdr:xfrm>
          <a:graphic>
            <a:graphicData uri="http://schemas.openxmlformats.org/drawingml/2006/diagram">
              <dgm:relIds xmlns:dgm="http://schemas.openxmlformats.org/drawingml/2006/diagram" xmlns:r="http://schemas.openxmlformats.org/officeDocument/2006/relationships" r:dm="rId6" r:lo="rId7" r:qs="rId8" r:cs="rId9"/>
            </a:graphicData>
          </a:graphic>
        </xdr:graphicFrame>
      </xdr:grp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428624" y="5191125"/>
            <a:ext cx="4829176" cy="219075"/>
          </a:xfrm>
          <a:prstGeom prst="rect">
            <a:avLst/>
          </a:prstGeom>
          <a:solidFill>
            <a:schemeClr val="accent2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50800" dir="5400000" sx="121000" sy="121000" algn="ctr" rotWithShape="0">
              <a:srgbClr val="000000">
                <a:alpha val="43137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SELECT YOUR </a:t>
            </a:r>
            <a:r>
              <a:rPr lang="en-US" sz="1100" b="1" baseline="0"/>
              <a:t> SUBJECT</a:t>
            </a:r>
            <a:endParaRPr lang="en-GH" sz="1100" b="1"/>
          </a:p>
        </xdr:txBody>
      </xdr:sp>
      <xdr:sp macro="" textlink="">
        <xdr:nvSpPr>
          <xdr:cNvPr id="38" name="TextBox 37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409574" y="5591176"/>
            <a:ext cx="723901" cy="1238249"/>
          </a:xfrm>
          <a:prstGeom prst="rect">
            <a:avLst/>
          </a:prstGeom>
          <a:ln/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MASTER</a:t>
            </a:r>
            <a:r>
              <a:rPr lang="en-US" sz="1100" b="1" baseline="0">
                <a:solidFill>
                  <a:schemeClr val="tx1"/>
                </a:solidFill>
              </a:rPr>
              <a:t> SHEET</a:t>
            </a:r>
          </a:p>
          <a:p>
            <a:pPr algn="ctr"/>
            <a:endParaRPr lang="en-US" sz="1100" b="1" baseline="0">
              <a:solidFill>
                <a:schemeClr val="tx1"/>
              </a:solidFill>
            </a:endParaRPr>
          </a:p>
          <a:p>
            <a:pPr algn="ctr"/>
            <a:endParaRPr lang="en-US" sz="1100" b="1" baseline="0">
              <a:solidFill>
                <a:schemeClr val="tx1"/>
              </a:solidFill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MASTER</a:t>
            </a:r>
            <a:r>
              <a:rPr lang="en-US" sz="110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SHEET</a:t>
            </a:r>
            <a:endParaRPr lang="en-GH">
              <a:effectLst/>
            </a:endParaRPr>
          </a:p>
          <a:p>
            <a:pPr algn="ctr"/>
            <a:endParaRPr lang="en-GH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409574" y="6934200"/>
            <a:ext cx="4829176" cy="219075"/>
          </a:xfrm>
          <a:prstGeom prst="rect">
            <a:avLst/>
          </a:prstGeom>
          <a:solidFill>
            <a:schemeClr val="accent2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50800" dir="5400000" sx="122000" sy="122000" algn="ctr" rotWithShape="0">
              <a:srgbClr val="000000">
                <a:alpha val="43137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endParaRPr lang="en-GH" sz="1100" b="1"/>
          </a:p>
        </xdr:txBody>
      </xdr:sp>
    </xdr:grpSp>
    <xdr:clientData/>
  </xdr:twoCellAnchor>
  <xdr:twoCellAnchor>
    <xdr:from>
      <xdr:col>0</xdr:col>
      <xdr:colOff>438150</xdr:colOff>
      <xdr:row>40</xdr:row>
      <xdr:rowOff>180975</xdr:rowOff>
    </xdr:from>
    <xdr:to>
      <xdr:col>8</xdr:col>
      <xdr:colOff>209551</xdr:colOff>
      <xdr:row>56</xdr:row>
      <xdr:rowOff>9525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438150" y="8201025"/>
          <a:ext cx="4943476" cy="3028950"/>
          <a:chOff x="380999" y="8058150"/>
          <a:chExt cx="4943476" cy="3028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ResetWorkbook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1733550" y="8743950"/>
                <a:ext cx="2390775" cy="5619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380999" y="8058150"/>
            <a:ext cx="4829176" cy="390525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50800" dir="5400000" sx="108000" sy="108000" algn="ctr" rotWithShape="0">
              <a:srgbClr val="000000">
                <a:alpha val="43137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/>
              <a:t>SETTTINGS MENU</a:t>
            </a:r>
            <a:endParaRPr lang="en-GH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ToggleStatusBar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619125" y="9458325"/>
                <a:ext cx="2114550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ToggleRibbons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3209925" y="9467850"/>
                <a:ext cx="2114550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ToggleFormulaBar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1914525" y="10134600"/>
                <a:ext cx="2057400" cy="561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476249" y="10915650"/>
            <a:ext cx="4829176" cy="171450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50800" dir="5400000" sx="108000" sy="108000" algn="ctr" rotWithShape="0">
              <a:srgbClr val="000000">
                <a:alpha val="43137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en-GH" sz="1600" b="1"/>
          </a:p>
        </xdr:txBody>
      </xdr:sp>
      <xdr:sp macro="" textlink="">
        <xdr:nvSpPr>
          <xdr:cNvPr id="48" name="Rectangle 4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66725" y="10353675"/>
            <a:ext cx="790575" cy="552450"/>
          </a:xfrm>
          <a:prstGeom prst="rect">
            <a:avLst/>
          </a:prstGeom>
          <a:ln>
            <a:solidFill>
              <a:srgbClr val="92D050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lang="en-US" sz="12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REVIEW</a:t>
            </a:r>
            <a:r>
              <a:rPr lang="en-US" sz="120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SETTINGS</a:t>
            </a:r>
            <a:endParaRPr lang="en-GH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9" name="Rectangle 4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4514850" y="10353675"/>
            <a:ext cx="790575" cy="552450"/>
          </a:xfrm>
          <a:prstGeom prst="rect">
            <a:avLst/>
          </a:prstGeom>
          <a:ln>
            <a:solidFill>
              <a:srgbClr val="92D050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overflow" horzOverflow="overflow" rtlCol="0" anchor="ctr">
            <a:noAutofit/>
          </a:bodyPr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lang="en-US" sz="12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REVIEW</a:t>
            </a:r>
            <a:r>
              <a:rPr lang="en-US" sz="120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SETTINGS</a:t>
            </a:r>
            <a:endParaRPr lang="en-GH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00075" y="266701"/>
          <a:ext cx="4705350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ENGLISH LANGUAGE</a:t>
          </a:r>
          <a:r>
            <a:rPr lang="en-US" sz="1050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914400" y="685800"/>
          <a:ext cx="4038600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3A7A6A7-932C-4F46-BE74-866CA1B5EB6D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848100" y="1000126"/>
          <a:ext cx="90487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390775" y="1000126"/>
          <a:ext cx="90487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12" name="Oval 11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3080" name="FreezeHeader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MATHEMATICS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10" name="Oval 9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077074" y="438149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4102" name="FreezeHeader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SCIENCE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10" name="Oval 9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5122" name="FreezeHead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OUR WORLD OUR PEOPLE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9" name="Oval 8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6145" name="FreezeHead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9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RELIGIOUS AND MORAL EDUCATION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9" name="Oval 8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11265" name="FreezeHeader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COMPUTING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9" name="Oval 8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9217" name="FreezeHea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HISTORY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9" name="Oval 8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10241" name="FreezeHeader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GHANAIAN LANGUAGE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9" name="Oval 8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8193" name="FreezeHeade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266701</xdr:rowOff>
    </xdr:from>
    <xdr:to>
      <xdr:col>10</xdr:col>
      <xdr:colOff>266700</xdr:colOff>
      <xdr:row>0</xdr:row>
      <xdr:rowOff>1409701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0075" y="266701"/>
          <a:ext cx="517207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SCHOOL BASED ASSESSMENT AT BASIC LEVEL</a:t>
          </a:r>
          <a:b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</a:b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TERMLY ASSESSMENT RECORDING SHEET</a:t>
          </a:r>
        </a:p>
        <a:p>
          <a:pPr algn="ctr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endParaRPr lang="en-US" sz="1100" b="1" i="0" u="none" strike="noStrike" spc="1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Times New Roman" panose="02020603050405020304" pitchFamily="18" charset="0"/>
          </a:endParaRP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SUBJECT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05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CREATIVE ARTS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CLASS: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</a:t>
          </a:r>
        </a:p>
        <a:p>
          <a:pPr algn="l">
            <a:spcBef>
              <a:spcPts val="300"/>
            </a:spcBef>
            <a:spcAft>
              <a:spcPts val="300"/>
            </a:spcAft>
          </a:pP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CLASS SIZE: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b="1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       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TERM: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  <a:r>
            <a:rPr lang="en-US" sz="1100" b="0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	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	  </a:t>
          </a:r>
          <a:r>
            <a:rPr lang="en-US" sz="1100" b="1" i="0" u="none" strike="noStrike" spc="100" baseline="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Times New Roman" panose="02020603050405020304" pitchFamily="18" charset="0"/>
            </a:rPr>
            <a:t>YEAR:</a:t>
          </a:r>
          <a:r>
            <a:rPr lang="en-US" b="0" spc="100" baseline="0">
              <a:latin typeface="Arial Narrow" panose="020B0606020202030204" pitchFamily="34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>
    <xdr:from>
      <xdr:col>1</xdr:col>
      <xdr:colOff>495300</xdr:colOff>
      <xdr:row>0</xdr:row>
      <xdr:rowOff>685800</xdr:rowOff>
    </xdr:from>
    <xdr:to>
      <xdr:col>9</xdr:col>
      <xdr:colOff>371475</xdr:colOff>
      <xdr:row>0</xdr:row>
      <xdr:rowOff>695326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 flipV="1">
          <a:off x="914400" y="685800"/>
          <a:ext cx="4524375" cy="9526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0</xdr:row>
      <xdr:rowOff>762001</xdr:rowOff>
    </xdr:from>
    <xdr:to>
      <xdr:col>9</xdr:col>
      <xdr:colOff>171450</xdr:colOff>
      <xdr:row>0</xdr:row>
      <xdr:rowOff>1114425</xdr:rowOff>
    </xdr:to>
    <xdr:sp macro="" textlink="DASHBOARD!C15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4229100" y="762001"/>
          <a:ext cx="1009650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556BF-6C2A-47B9-9912-A41C155690D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900"/>
        </a:p>
      </xdr:txBody>
    </xdr:sp>
    <xdr:clientData/>
  </xdr:twoCellAnchor>
  <xdr:twoCellAnchor>
    <xdr:from>
      <xdr:col>7</xdr:col>
      <xdr:colOff>104775</xdr:colOff>
      <xdr:row>0</xdr:row>
      <xdr:rowOff>1000126</xdr:rowOff>
    </xdr:from>
    <xdr:to>
      <xdr:col>9</xdr:col>
      <xdr:colOff>171450</xdr:colOff>
      <xdr:row>0</xdr:row>
      <xdr:rowOff>1247775</xdr:rowOff>
    </xdr:to>
    <xdr:sp macro="" textlink="DASHBOARD!C17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4229100" y="1000126"/>
          <a:ext cx="10096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CC1D33-F4EC-46E5-B677-CD27F508B932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300"/>
        </a:p>
      </xdr:txBody>
    </xdr:sp>
    <xdr:clientData/>
  </xdr:twoCellAnchor>
  <xdr:twoCellAnchor>
    <xdr:from>
      <xdr:col>1</xdr:col>
      <xdr:colOff>1095376</xdr:colOff>
      <xdr:row>0</xdr:row>
      <xdr:rowOff>1019176</xdr:rowOff>
    </xdr:from>
    <xdr:to>
      <xdr:col>1</xdr:col>
      <xdr:colOff>1533526</xdr:colOff>
      <xdr:row>0</xdr:row>
      <xdr:rowOff>1266825</xdr:rowOff>
    </xdr:to>
    <xdr:sp macro="" textlink="DASHBOARD!G15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514476" y="1019176"/>
          <a:ext cx="43815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53524B-5E58-4CAB-9EC5-5064CAF84409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en-GH" sz="100"/>
        </a:p>
      </xdr:txBody>
    </xdr:sp>
    <xdr:clientData/>
  </xdr:twoCellAnchor>
  <xdr:twoCellAnchor>
    <xdr:from>
      <xdr:col>2</xdr:col>
      <xdr:colOff>180975</xdr:colOff>
      <xdr:row>0</xdr:row>
      <xdr:rowOff>1000126</xdr:rowOff>
    </xdr:from>
    <xdr:to>
      <xdr:col>5</xdr:col>
      <xdr:colOff>190500</xdr:colOff>
      <xdr:row>0</xdr:row>
      <xdr:rowOff>1247775</xdr:rowOff>
    </xdr:to>
    <xdr:sp macro="" textlink="DASHBOARD!C17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2390775" y="1000126"/>
          <a:ext cx="111442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82BEC4E-1874-4F19-9CB8-E444BD4F8ED5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en-GH" sz="100"/>
        </a:p>
      </xdr:txBody>
    </xdr:sp>
    <xdr:clientData/>
  </xdr:twoCellAnchor>
  <xdr:twoCellAnchor>
    <xdr:from>
      <xdr:col>13</xdr:col>
      <xdr:colOff>171449</xdr:colOff>
      <xdr:row>2</xdr:row>
      <xdr:rowOff>247649</xdr:rowOff>
    </xdr:from>
    <xdr:to>
      <xdr:col>14</xdr:col>
      <xdr:colOff>295274</xdr:colOff>
      <xdr:row>3</xdr:row>
      <xdr:rowOff>123824</xdr:rowOff>
    </xdr:to>
    <xdr:sp macro="" textlink="">
      <xdr:nvSpPr>
        <xdr:cNvPr id="9" name="Oval 8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7077074" y="2066924"/>
          <a:ext cx="733425" cy="6191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  <a:endParaRPr lang="en-GH" sz="2400">
            <a:effectLst/>
          </a:endParaRPr>
        </a:p>
        <a:p>
          <a:pPr algn="ctr"/>
          <a:endParaRPr lang="en-GH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</xdr:row>
          <xdr:rowOff>66675</xdr:rowOff>
        </xdr:from>
        <xdr:to>
          <xdr:col>15</xdr:col>
          <xdr:colOff>238125</xdr:colOff>
          <xdr:row>2</xdr:row>
          <xdr:rowOff>247650</xdr:rowOff>
        </xdr:to>
        <xdr:sp macro="" textlink="">
          <xdr:nvSpPr>
            <xdr:cNvPr id="7169" name="FreezeHeade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 HEADER (SHOW)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72</xdr:col>
      <xdr:colOff>190499</xdr:colOff>
      <xdr:row>0</xdr:row>
      <xdr:rowOff>42676</xdr:rowOff>
    </xdr:from>
    <xdr:to>
      <xdr:col>72</xdr:col>
      <xdr:colOff>1094222</xdr:colOff>
      <xdr:row>1</xdr:row>
      <xdr:rowOff>407359</xdr:rowOff>
    </xdr:to>
    <xdr:sp macro="" textlink="">
      <xdr:nvSpPr>
        <xdr:cNvPr id="8" name="Oval 7">
          <a:hlinkClick xmlns:r="http://schemas.openxmlformats.org/officeDocument/2006/relationships" r:id="rId1" tooltip="GO TO DASHBOARD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 noChangeAspect="1"/>
        </xdr:cNvSpPr>
      </xdr:nvSpPr>
      <xdr:spPr>
        <a:xfrm>
          <a:off x="33651824" y="42676"/>
          <a:ext cx="903723" cy="688533"/>
        </a:xfrm>
        <a:prstGeom prst="ellipse">
          <a:avLst/>
        </a:prstGeom>
        <a:ln cap="rnd"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🏠</a:t>
          </a:r>
        </a:p>
        <a:p>
          <a:pPr algn="ctr"/>
          <a:endParaRPr lang="en-GH" sz="700"/>
        </a:p>
      </xdr:txBody>
    </xdr:sp>
    <xdr:clientData/>
  </xdr:twoCellAnchor>
  <xdr:twoCellAnchor>
    <xdr:from>
      <xdr:col>70</xdr:col>
      <xdr:colOff>47625</xdr:colOff>
      <xdr:row>1</xdr:row>
      <xdr:rowOff>57149</xdr:rowOff>
    </xdr:from>
    <xdr:to>
      <xdr:col>70</xdr:col>
      <xdr:colOff>914400</xdr:colOff>
      <xdr:row>1</xdr:row>
      <xdr:rowOff>352424</xdr:rowOff>
    </xdr:to>
    <xdr:sp macro="[0]!Sheet2.PromoteByPassMark" textlink="">
      <xdr:nvSpPr>
        <xdr:cNvPr id="2" name="AutoPromot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886450" y="380999"/>
          <a:ext cx="866775" cy="295275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en-US" sz="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AUTO</a:t>
          </a:r>
          <a:r>
            <a:rPr lang="en-US" sz="8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FILL WITH PASS MARK</a:t>
          </a:r>
          <a:endParaRPr lang="en-GH" sz="8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</xdr:row>
          <xdr:rowOff>123825</xdr:rowOff>
        </xdr:from>
        <xdr:to>
          <xdr:col>8</xdr:col>
          <xdr:colOff>152400</xdr:colOff>
          <xdr:row>3</xdr:row>
          <xdr:rowOff>76200</xdr:rowOff>
        </xdr:to>
        <xdr:sp macro="" textlink="">
          <xdr:nvSpPr>
            <xdr:cNvPr id="14344" name="SelectStudent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B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overflow" horzOverflow="overflow" rtlCol="0" anchor="ctr">
        <a:noAutofit/>
      </a:bodyPr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3600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showRowColHeaders="0" tabSelected="1" topLeftCell="A41" zoomScaleNormal="100" workbookViewId="0">
      <selection activeCell="C21" sqref="C21:G21"/>
    </sheetView>
  </sheetViews>
  <sheetFormatPr defaultRowHeight="15.75" x14ac:dyDescent="0.25"/>
  <cols>
    <col min="1" max="1" width="13.5703125" style="1" bestFit="1" customWidth="1"/>
    <col min="2" max="2" width="9.140625" style="1" customWidth="1"/>
    <col min="3" max="5" width="9.140625" style="1"/>
    <col min="6" max="7" width="9.140625" style="1" customWidth="1"/>
    <col min="8" max="8" width="9.140625" style="1"/>
    <col min="9" max="9" width="9.140625" style="1" customWidth="1"/>
    <col min="10" max="10" width="9.140625" style="4"/>
    <col min="11" max="11" width="36.28515625" style="8" customWidth="1"/>
    <col min="12" max="12" width="9.140625" style="2"/>
    <col min="13" max="16384" width="9.140625" style="1"/>
  </cols>
  <sheetData>
    <row r="1" spans="1:11" x14ac:dyDescent="0.25">
      <c r="A1" s="26"/>
      <c r="B1" s="26"/>
      <c r="C1" s="26"/>
      <c r="D1" s="26"/>
      <c r="E1" s="26"/>
      <c r="F1" s="26"/>
      <c r="G1" s="26"/>
      <c r="H1" s="26"/>
      <c r="I1" s="26"/>
      <c r="J1" s="27"/>
    </row>
    <row r="2" spans="1:11" x14ac:dyDescent="0.25">
      <c r="A2" s="26"/>
      <c r="B2" s="26"/>
      <c r="C2" s="26"/>
      <c r="D2" s="26"/>
      <c r="E2" s="26"/>
      <c r="F2" s="26"/>
      <c r="G2" s="26"/>
      <c r="H2" s="26"/>
      <c r="I2" s="26"/>
      <c r="J2" s="28" t="s">
        <v>0</v>
      </c>
      <c r="K2" s="7" t="s">
        <v>3</v>
      </c>
    </row>
    <row r="3" spans="1:11" x14ac:dyDescent="0.25">
      <c r="A3" s="26"/>
      <c r="B3" s="26"/>
      <c r="C3" s="26"/>
      <c r="D3" s="26"/>
      <c r="E3" s="26"/>
      <c r="F3" s="26"/>
      <c r="G3" s="26"/>
      <c r="H3" s="26"/>
      <c r="I3" s="26"/>
      <c r="J3" s="29">
        <v>1</v>
      </c>
      <c r="K3" s="32"/>
    </row>
    <row r="4" spans="1:11" x14ac:dyDescent="0.25">
      <c r="A4" s="26"/>
      <c r="B4" s="26"/>
      <c r="C4" s="26"/>
      <c r="D4" s="26"/>
      <c r="E4" s="26"/>
      <c r="F4" s="26"/>
      <c r="G4" s="26"/>
      <c r="H4" s="26"/>
      <c r="I4" s="26"/>
      <c r="J4" s="29">
        <v>2</v>
      </c>
      <c r="K4" s="32"/>
    </row>
    <row r="5" spans="1:11" x14ac:dyDescent="0.25">
      <c r="A5" s="26"/>
      <c r="B5" s="26"/>
      <c r="C5" s="26"/>
      <c r="D5" s="26"/>
      <c r="E5" s="26"/>
      <c r="F5" s="26"/>
      <c r="G5" s="26"/>
      <c r="H5" s="26"/>
      <c r="I5" s="26"/>
      <c r="J5" s="29">
        <v>3</v>
      </c>
      <c r="K5" s="32"/>
    </row>
    <row r="6" spans="1:11" x14ac:dyDescent="0.25">
      <c r="A6" s="26"/>
      <c r="B6" s="26"/>
      <c r="C6" s="26"/>
      <c r="D6" s="26"/>
      <c r="E6" s="26"/>
      <c r="F6" s="26"/>
      <c r="G6" s="26"/>
      <c r="H6" s="26"/>
      <c r="I6" s="26"/>
      <c r="J6" s="29">
        <v>4</v>
      </c>
      <c r="K6" s="32"/>
    </row>
    <row r="7" spans="1:11" x14ac:dyDescent="0.25">
      <c r="A7" s="26"/>
      <c r="B7" s="26"/>
      <c r="C7" s="26"/>
      <c r="D7" s="26"/>
      <c r="E7" s="26"/>
      <c r="F7" s="26"/>
      <c r="G7" s="26"/>
      <c r="H7" s="26"/>
      <c r="I7" s="26"/>
      <c r="J7" s="29">
        <v>5</v>
      </c>
      <c r="K7" s="32"/>
    </row>
    <row r="8" spans="1:11" x14ac:dyDescent="0.25">
      <c r="A8" s="26"/>
      <c r="B8" s="26"/>
      <c r="C8" s="26"/>
      <c r="D8" s="26"/>
      <c r="E8" s="26"/>
      <c r="F8" s="26"/>
      <c r="G8" s="26"/>
      <c r="H8" s="26"/>
      <c r="I8" s="26"/>
      <c r="J8" s="29">
        <v>6</v>
      </c>
      <c r="K8" s="32"/>
    </row>
    <row r="9" spans="1:11" x14ac:dyDescent="0.25">
      <c r="A9" s="26"/>
      <c r="B9" s="26"/>
      <c r="C9" s="26"/>
      <c r="D9" s="26"/>
      <c r="E9" s="26"/>
      <c r="F9" s="26"/>
      <c r="G9" s="26"/>
      <c r="H9" s="26"/>
      <c r="I9" s="26"/>
      <c r="J9" s="29">
        <v>7</v>
      </c>
      <c r="K9" s="32"/>
    </row>
    <row r="10" spans="1:11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9">
        <v>8</v>
      </c>
      <c r="K10" s="32"/>
    </row>
    <row r="11" spans="1:1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9">
        <v>9</v>
      </c>
      <c r="K11" s="32"/>
    </row>
    <row r="12" spans="1:11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9">
        <v>10</v>
      </c>
      <c r="K12" s="32"/>
    </row>
    <row r="13" spans="1:11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1">
        <v>11</v>
      </c>
      <c r="K13" s="32"/>
    </row>
    <row r="14" spans="1:1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1">
        <v>12</v>
      </c>
      <c r="K14" s="32"/>
    </row>
    <row r="15" spans="1:11" ht="15.75" customHeight="1" x14ac:dyDescent="0.35">
      <c r="A15" s="30"/>
      <c r="B15" s="30"/>
      <c r="C15" s="122"/>
      <c r="D15" s="122"/>
      <c r="E15" s="39"/>
      <c r="F15" s="39"/>
      <c r="G15" s="118">
        <f>COUNTA(K3:K101)</f>
        <v>0</v>
      </c>
      <c r="H15" s="119"/>
      <c r="I15" s="41"/>
      <c r="J15" s="31">
        <v>13</v>
      </c>
      <c r="K15" s="32"/>
    </row>
    <row r="16" spans="1:11" ht="15.75" customHeight="1" x14ac:dyDescent="0.35">
      <c r="A16" s="30"/>
      <c r="B16" s="30"/>
      <c r="C16" s="39"/>
      <c r="D16" s="39"/>
      <c r="E16" s="39"/>
      <c r="F16" s="39"/>
      <c r="G16" s="39"/>
      <c r="H16" s="40"/>
      <c r="I16" s="30"/>
      <c r="J16" s="31">
        <v>14</v>
      </c>
      <c r="K16" s="32"/>
    </row>
    <row r="17" spans="1:11" x14ac:dyDescent="0.25">
      <c r="A17" s="30"/>
      <c r="B17" s="30"/>
      <c r="C17" s="122"/>
      <c r="D17" s="122"/>
      <c r="E17" s="40"/>
      <c r="F17" s="40"/>
      <c r="G17" s="120"/>
      <c r="H17" s="121"/>
      <c r="I17" s="41"/>
      <c r="J17" s="31">
        <v>15</v>
      </c>
      <c r="K17" s="32"/>
    </row>
    <row r="18" spans="1:11" x14ac:dyDescent="0.25">
      <c r="A18" s="30"/>
      <c r="B18" s="30"/>
      <c r="C18" s="40"/>
      <c r="D18" s="40"/>
      <c r="E18" s="40"/>
      <c r="F18" s="40"/>
      <c r="G18" s="40"/>
      <c r="H18" s="40"/>
      <c r="I18" s="30"/>
      <c r="J18" s="31">
        <v>16</v>
      </c>
      <c r="K18" s="32"/>
    </row>
    <row r="19" spans="1:11" x14ac:dyDescent="0.25">
      <c r="A19" s="30"/>
      <c r="B19" s="30"/>
      <c r="C19" s="123"/>
      <c r="D19" s="122"/>
      <c r="E19" s="40"/>
      <c r="F19" s="40"/>
      <c r="G19" s="124"/>
      <c r="H19" s="125"/>
      <c r="I19" s="125"/>
      <c r="J19" s="31">
        <v>17</v>
      </c>
      <c r="K19" s="32"/>
    </row>
    <row r="20" spans="1:11" x14ac:dyDescent="0.25">
      <c r="A20" s="30"/>
      <c r="B20" s="30"/>
      <c r="C20" s="41"/>
      <c r="D20" s="41"/>
      <c r="E20" s="40"/>
      <c r="F20" s="40"/>
      <c r="G20" s="76"/>
      <c r="H20" s="77"/>
      <c r="I20" s="77"/>
      <c r="J20" s="31">
        <v>18</v>
      </c>
      <c r="K20" s="32"/>
    </row>
    <row r="21" spans="1:11" ht="14.25" customHeight="1" x14ac:dyDescent="0.25">
      <c r="A21" s="30"/>
      <c r="B21" s="30"/>
      <c r="C21" s="117"/>
      <c r="D21" s="117"/>
      <c r="E21" s="117"/>
      <c r="F21" s="117"/>
      <c r="G21" s="117"/>
      <c r="H21" s="30"/>
      <c r="I21" s="30"/>
      <c r="J21" s="31">
        <v>19</v>
      </c>
      <c r="K21" s="32"/>
    </row>
    <row r="22" spans="1:11" ht="18.75" customHeight="1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1">
        <v>20</v>
      </c>
      <c r="K22" s="32"/>
    </row>
    <row r="23" spans="1:11" x14ac:dyDescent="0.25">
      <c r="A23" s="30"/>
      <c r="B23" s="30"/>
      <c r="C23" s="116">
        <v>35</v>
      </c>
      <c r="D23" s="116"/>
      <c r="E23" s="116"/>
      <c r="F23" s="116"/>
      <c r="G23" s="116"/>
      <c r="H23" s="30"/>
      <c r="I23" s="30"/>
      <c r="J23" s="31">
        <v>21</v>
      </c>
      <c r="K23" s="32"/>
    </row>
    <row r="24" spans="1:11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1">
        <v>22</v>
      </c>
      <c r="K24" s="32"/>
    </row>
    <row r="25" spans="1:11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13">
        <v>23</v>
      </c>
      <c r="K25" s="32"/>
    </row>
    <row r="26" spans="1:11" x14ac:dyDescent="0.25">
      <c r="A26" s="30"/>
      <c r="B26" s="30"/>
      <c r="C26" s="30"/>
      <c r="D26" s="30"/>
      <c r="E26" s="30"/>
      <c r="F26" s="26"/>
      <c r="G26" s="30"/>
      <c r="H26" s="30"/>
      <c r="I26" s="30"/>
      <c r="J26" s="13">
        <v>24</v>
      </c>
      <c r="K26" s="32"/>
    </row>
    <row r="27" spans="1:11" x14ac:dyDescent="0.25">
      <c r="A27" s="30"/>
      <c r="B27" s="30"/>
      <c r="C27" s="30"/>
      <c r="D27" s="30"/>
      <c r="E27" s="30"/>
      <c r="F27" s="26"/>
      <c r="G27" s="26"/>
      <c r="H27" s="26"/>
      <c r="I27" s="30"/>
      <c r="J27" s="13">
        <v>25</v>
      </c>
      <c r="K27" s="32"/>
    </row>
    <row r="28" spans="1:11" x14ac:dyDescent="0.25">
      <c r="A28" s="30"/>
      <c r="B28" s="30"/>
      <c r="C28" s="30"/>
      <c r="D28" s="26"/>
      <c r="E28" s="26"/>
      <c r="F28" s="26"/>
      <c r="G28" s="26"/>
      <c r="H28" s="26"/>
      <c r="I28" s="26"/>
      <c r="J28" s="13">
        <v>26</v>
      </c>
      <c r="K28" s="32"/>
    </row>
    <row r="29" spans="1:1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3">
        <v>27</v>
      </c>
      <c r="K29" s="32"/>
    </row>
    <row r="30" spans="1:1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3">
        <v>28</v>
      </c>
      <c r="K30" s="32"/>
    </row>
    <row r="31" spans="1:1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3">
        <v>29</v>
      </c>
      <c r="K31" s="32"/>
    </row>
    <row r="32" spans="1:1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3">
        <v>30</v>
      </c>
      <c r="K32" s="32"/>
    </row>
    <row r="33" spans="1:1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3">
        <v>31</v>
      </c>
      <c r="K33" s="32"/>
    </row>
    <row r="34" spans="1:1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3">
        <v>32</v>
      </c>
      <c r="K34" s="32"/>
    </row>
    <row r="35" spans="1:1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3">
        <v>33</v>
      </c>
      <c r="K35" s="32"/>
    </row>
    <row r="36" spans="1:11" x14ac:dyDescent="0.25">
      <c r="A36" s="26"/>
      <c r="B36" s="26"/>
      <c r="C36" s="26"/>
      <c r="D36" s="26"/>
      <c r="E36" s="26"/>
      <c r="F36" s="70"/>
      <c r="G36" s="26"/>
      <c r="H36" s="26"/>
      <c r="I36" s="26"/>
      <c r="J36" s="3">
        <v>34</v>
      </c>
      <c r="K36" s="32"/>
    </row>
    <row r="37" spans="1:11" x14ac:dyDescent="0.25">
      <c r="A37" s="82"/>
      <c r="B37" s="82"/>
      <c r="C37" s="82"/>
      <c r="D37" s="82"/>
      <c r="E37" s="81"/>
      <c r="F37" s="70"/>
      <c r="G37" s="26"/>
      <c r="H37" s="26"/>
      <c r="I37" s="26"/>
      <c r="J37" s="3">
        <v>35</v>
      </c>
      <c r="K37" s="32"/>
    </row>
    <row r="38" spans="1:11" x14ac:dyDescent="0.25">
      <c r="D38" s="82"/>
      <c r="E38" s="81"/>
      <c r="F38" s="70"/>
      <c r="G38" s="26"/>
      <c r="H38" s="26"/>
      <c r="I38" s="26"/>
      <c r="J38" s="3">
        <v>36</v>
      </c>
      <c r="K38" s="32"/>
    </row>
    <row r="39" spans="1:11" x14ac:dyDescent="0.25">
      <c r="D39" s="82"/>
      <c r="E39" s="81"/>
      <c r="F39" s="70"/>
      <c r="G39" s="26"/>
      <c r="H39" s="26"/>
      <c r="I39" s="26"/>
      <c r="J39" s="3">
        <v>37</v>
      </c>
      <c r="K39" s="32"/>
    </row>
    <row r="40" spans="1:11" x14ac:dyDescent="0.25">
      <c r="D40" s="82"/>
      <c r="E40" s="81"/>
      <c r="F40" s="70"/>
      <c r="G40" s="26"/>
      <c r="H40" s="26"/>
      <c r="I40" s="26"/>
      <c r="J40" s="3">
        <v>38</v>
      </c>
      <c r="K40" s="32"/>
    </row>
    <row r="41" spans="1:11" x14ac:dyDescent="0.25">
      <c r="D41" s="82"/>
      <c r="E41" s="81"/>
      <c r="F41" s="70"/>
      <c r="G41" s="26"/>
      <c r="H41" s="26"/>
      <c r="I41" s="26"/>
      <c r="J41" s="3">
        <v>39</v>
      </c>
      <c r="K41" s="32"/>
    </row>
    <row r="42" spans="1:11" x14ac:dyDescent="0.25">
      <c r="D42" s="82"/>
      <c r="E42" s="81"/>
      <c r="F42" s="70"/>
      <c r="G42" s="26"/>
      <c r="H42" s="26"/>
      <c r="I42" s="26"/>
      <c r="J42" s="3">
        <v>40</v>
      </c>
      <c r="K42" s="32"/>
    </row>
    <row r="43" spans="1:11" x14ac:dyDescent="0.25">
      <c r="D43" s="82"/>
      <c r="E43" s="81"/>
      <c r="F43" s="70"/>
      <c r="G43" s="26"/>
      <c r="H43" s="26"/>
      <c r="I43" s="26"/>
      <c r="J43" s="3">
        <v>41</v>
      </c>
      <c r="K43" s="32"/>
    </row>
    <row r="44" spans="1:11" x14ac:dyDescent="0.25">
      <c r="D44" s="82"/>
      <c r="E44" s="81"/>
      <c r="F44" s="70"/>
      <c r="G44" s="26"/>
      <c r="H44" s="26"/>
      <c r="I44" s="26"/>
      <c r="J44" s="3">
        <v>42</v>
      </c>
      <c r="K44" s="32"/>
    </row>
    <row r="45" spans="1:11" x14ac:dyDescent="0.25">
      <c r="D45" s="82"/>
      <c r="E45" s="81"/>
      <c r="F45" s="70"/>
      <c r="G45" s="26"/>
      <c r="H45" s="26"/>
      <c r="I45" s="26"/>
      <c r="J45" s="3">
        <v>43</v>
      </c>
      <c r="K45" s="32"/>
    </row>
    <row r="46" spans="1:11" x14ac:dyDescent="0.25">
      <c r="A46" s="82"/>
      <c r="B46" s="82"/>
      <c r="C46" s="82"/>
      <c r="D46" s="82"/>
      <c r="E46" s="81"/>
      <c r="F46" s="70"/>
      <c r="G46" s="26"/>
      <c r="H46" s="26"/>
      <c r="I46" s="26"/>
      <c r="J46" s="3">
        <v>44</v>
      </c>
      <c r="K46" s="32"/>
    </row>
    <row r="47" spans="1:11" x14ac:dyDescent="0.25">
      <c r="A47" s="70"/>
      <c r="B47" s="70"/>
      <c r="C47" s="70"/>
      <c r="D47" s="70"/>
      <c r="E47" s="70"/>
      <c r="F47" s="70"/>
      <c r="G47" s="26"/>
      <c r="H47" s="26"/>
      <c r="I47" s="26"/>
      <c r="J47" s="3">
        <v>45</v>
      </c>
      <c r="K47" s="32"/>
    </row>
    <row r="48" spans="1:11" x14ac:dyDescent="0.25">
      <c r="A48" s="70"/>
      <c r="B48" s="70"/>
      <c r="C48" s="70"/>
      <c r="D48" s="70"/>
      <c r="E48" s="70"/>
      <c r="F48" s="70"/>
      <c r="G48" s="26"/>
      <c r="H48" s="26"/>
      <c r="I48" s="26"/>
      <c r="J48" s="3">
        <v>46</v>
      </c>
      <c r="K48" s="32"/>
    </row>
    <row r="49" spans="1:11" x14ac:dyDescent="0.25">
      <c r="A49" s="70"/>
      <c r="B49" s="70"/>
      <c r="C49" s="70"/>
      <c r="D49" s="70"/>
      <c r="E49" s="70"/>
      <c r="F49" s="71"/>
      <c r="J49" s="3">
        <v>47</v>
      </c>
      <c r="K49" s="32"/>
    </row>
    <row r="50" spans="1:11" x14ac:dyDescent="0.25">
      <c r="A50" s="71"/>
      <c r="B50" s="71"/>
      <c r="C50" s="71"/>
      <c r="D50" s="71"/>
      <c r="E50" s="71"/>
      <c r="J50" s="3">
        <v>48</v>
      </c>
      <c r="K50" s="32"/>
    </row>
    <row r="51" spans="1:11" x14ac:dyDescent="0.25">
      <c r="J51" s="3">
        <v>49</v>
      </c>
      <c r="K51" s="32"/>
    </row>
    <row r="52" spans="1:11" x14ac:dyDescent="0.25">
      <c r="J52" s="3">
        <v>50</v>
      </c>
      <c r="K52" s="32"/>
    </row>
    <row r="53" spans="1:11" x14ac:dyDescent="0.25">
      <c r="J53" s="3">
        <v>51</v>
      </c>
      <c r="K53" s="32"/>
    </row>
    <row r="54" spans="1:11" x14ac:dyDescent="0.25">
      <c r="J54" s="3">
        <v>52</v>
      </c>
      <c r="K54" s="32"/>
    </row>
    <row r="55" spans="1:11" x14ac:dyDescent="0.25">
      <c r="J55" s="3">
        <v>53</v>
      </c>
      <c r="K55" s="32"/>
    </row>
    <row r="56" spans="1:11" x14ac:dyDescent="0.25">
      <c r="J56" s="3">
        <v>54</v>
      </c>
      <c r="K56" s="32"/>
    </row>
    <row r="57" spans="1:11" x14ac:dyDescent="0.25">
      <c r="J57" s="3">
        <v>55</v>
      </c>
      <c r="K57" s="32"/>
    </row>
    <row r="58" spans="1:11" x14ac:dyDescent="0.25">
      <c r="J58" s="3">
        <v>56</v>
      </c>
      <c r="K58" s="32"/>
    </row>
    <row r="59" spans="1:11" x14ac:dyDescent="0.25">
      <c r="J59" s="3">
        <v>57</v>
      </c>
      <c r="K59" s="32"/>
    </row>
    <row r="60" spans="1:11" x14ac:dyDescent="0.25">
      <c r="J60" s="3">
        <v>58</v>
      </c>
      <c r="K60" s="32"/>
    </row>
    <row r="61" spans="1:11" x14ac:dyDescent="0.25">
      <c r="J61" s="3">
        <v>59</v>
      </c>
      <c r="K61" s="32"/>
    </row>
    <row r="62" spans="1:11" x14ac:dyDescent="0.25">
      <c r="J62" s="3">
        <v>60</v>
      </c>
      <c r="K62" s="32"/>
    </row>
    <row r="63" spans="1:11" x14ac:dyDescent="0.25">
      <c r="J63" s="3">
        <v>61</v>
      </c>
      <c r="K63" s="32"/>
    </row>
    <row r="64" spans="1:11" x14ac:dyDescent="0.25">
      <c r="J64" s="3">
        <v>62</v>
      </c>
      <c r="K64" s="32"/>
    </row>
    <row r="65" spans="10:11" x14ac:dyDescent="0.25">
      <c r="J65" s="3">
        <v>63</v>
      </c>
      <c r="K65" s="32"/>
    </row>
    <row r="66" spans="10:11" x14ac:dyDescent="0.25">
      <c r="J66" s="3">
        <v>64</v>
      </c>
      <c r="K66" s="32"/>
    </row>
    <row r="67" spans="10:11" x14ac:dyDescent="0.25">
      <c r="J67" s="3">
        <v>65</v>
      </c>
      <c r="K67" s="32"/>
    </row>
    <row r="68" spans="10:11" x14ac:dyDescent="0.25">
      <c r="J68" s="3">
        <v>66</v>
      </c>
      <c r="K68" s="32"/>
    </row>
    <row r="69" spans="10:11" x14ac:dyDescent="0.25">
      <c r="J69" s="3">
        <v>67</v>
      </c>
      <c r="K69" s="32"/>
    </row>
    <row r="70" spans="10:11" x14ac:dyDescent="0.25">
      <c r="J70" s="3">
        <v>68</v>
      </c>
      <c r="K70" s="32"/>
    </row>
    <row r="71" spans="10:11" x14ac:dyDescent="0.25">
      <c r="J71" s="3">
        <v>69</v>
      </c>
      <c r="K71" s="32"/>
    </row>
    <row r="72" spans="10:11" x14ac:dyDescent="0.25">
      <c r="J72" s="3">
        <v>70</v>
      </c>
      <c r="K72" s="32"/>
    </row>
    <row r="73" spans="10:11" x14ac:dyDescent="0.25">
      <c r="J73" s="3">
        <v>71</v>
      </c>
      <c r="K73" s="32"/>
    </row>
    <row r="74" spans="10:11" x14ac:dyDescent="0.25">
      <c r="J74" s="3">
        <v>72</v>
      </c>
      <c r="K74" s="32"/>
    </row>
    <row r="75" spans="10:11" x14ac:dyDescent="0.25">
      <c r="J75" s="3">
        <v>73</v>
      </c>
      <c r="K75" s="32"/>
    </row>
    <row r="76" spans="10:11" x14ac:dyDescent="0.25">
      <c r="J76" s="3">
        <v>74</v>
      </c>
      <c r="K76" s="32"/>
    </row>
    <row r="77" spans="10:11" x14ac:dyDescent="0.25">
      <c r="J77" s="3">
        <v>75</v>
      </c>
      <c r="K77" s="32"/>
    </row>
    <row r="78" spans="10:11" x14ac:dyDescent="0.25">
      <c r="J78" s="3">
        <v>76</v>
      </c>
      <c r="K78" s="32"/>
    </row>
    <row r="79" spans="10:11" x14ac:dyDescent="0.25">
      <c r="J79" s="3">
        <v>77</v>
      </c>
      <c r="K79" s="32"/>
    </row>
    <row r="80" spans="10:11" x14ac:dyDescent="0.25">
      <c r="J80" s="3">
        <v>78</v>
      </c>
      <c r="K80" s="32"/>
    </row>
    <row r="81" spans="10:11" x14ac:dyDescent="0.25">
      <c r="J81" s="3">
        <v>79</v>
      </c>
      <c r="K81" s="32"/>
    </row>
    <row r="82" spans="10:11" x14ac:dyDescent="0.25">
      <c r="J82" s="3">
        <v>80</v>
      </c>
      <c r="K82" s="32"/>
    </row>
    <row r="83" spans="10:11" x14ac:dyDescent="0.25">
      <c r="J83" s="3">
        <v>81</v>
      </c>
      <c r="K83" s="32"/>
    </row>
    <row r="84" spans="10:11" x14ac:dyDescent="0.25">
      <c r="J84" s="3">
        <v>82</v>
      </c>
      <c r="K84" s="32"/>
    </row>
    <row r="85" spans="10:11" x14ac:dyDescent="0.25">
      <c r="J85" s="3">
        <v>83</v>
      </c>
      <c r="K85" s="32"/>
    </row>
    <row r="86" spans="10:11" x14ac:dyDescent="0.25">
      <c r="J86" s="3">
        <v>84</v>
      </c>
      <c r="K86" s="32"/>
    </row>
    <row r="87" spans="10:11" x14ac:dyDescent="0.25">
      <c r="J87" s="3">
        <v>85</v>
      </c>
      <c r="K87" s="32"/>
    </row>
    <row r="88" spans="10:11" x14ac:dyDescent="0.25">
      <c r="J88" s="3">
        <v>86</v>
      </c>
      <c r="K88" s="32"/>
    </row>
    <row r="89" spans="10:11" x14ac:dyDescent="0.25">
      <c r="J89" s="3">
        <v>87</v>
      </c>
      <c r="K89" s="32"/>
    </row>
    <row r="90" spans="10:11" x14ac:dyDescent="0.25">
      <c r="J90" s="3">
        <v>88</v>
      </c>
      <c r="K90" s="32"/>
    </row>
    <row r="91" spans="10:11" x14ac:dyDescent="0.25">
      <c r="J91" s="3">
        <v>89</v>
      </c>
      <c r="K91" s="32"/>
    </row>
    <row r="92" spans="10:11" x14ac:dyDescent="0.25">
      <c r="J92" s="3">
        <v>90</v>
      </c>
      <c r="K92" s="32"/>
    </row>
    <row r="93" spans="10:11" x14ac:dyDescent="0.25">
      <c r="J93" s="3">
        <v>91</v>
      </c>
      <c r="K93" s="32"/>
    </row>
    <row r="94" spans="10:11" x14ac:dyDescent="0.25">
      <c r="J94" s="3">
        <v>92</v>
      </c>
      <c r="K94" s="32"/>
    </row>
    <row r="95" spans="10:11" x14ac:dyDescent="0.25">
      <c r="J95" s="3">
        <v>93</v>
      </c>
      <c r="K95" s="32"/>
    </row>
    <row r="96" spans="10:11" x14ac:dyDescent="0.25">
      <c r="J96" s="3">
        <v>94</v>
      </c>
      <c r="K96" s="32"/>
    </row>
    <row r="97" spans="10:11" x14ac:dyDescent="0.25">
      <c r="J97" s="3">
        <v>95</v>
      </c>
      <c r="K97" s="32"/>
    </row>
    <row r="98" spans="10:11" x14ac:dyDescent="0.25">
      <c r="J98" s="3">
        <v>96</v>
      </c>
      <c r="K98" s="32"/>
    </row>
    <row r="99" spans="10:11" x14ac:dyDescent="0.25">
      <c r="J99" s="3">
        <v>97</v>
      </c>
      <c r="K99" s="32"/>
    </row>
    <row r="100" spans="10:11" x14ac:dyDescent="0.25">
      <c r="J100" s="3">
        <v>98</v>
      </c>
      <c r="K100" s="32"/>
    </row>
    <row r="101" spans="10:11" x14ac:dyDescent="0.25">
      <c r="J101" s="3">
        <v>99</v>
      </c>
      <c r="K101" s="32"/>
    </row>
  </sheetData>
  <sheetProtection algorithmName="SHA-512" hashValue="J+fV4zvjFlAE/ckEGO9YdtRssYg3mOox99B/GETfd9nAQXdWauuHwXGxi37Oicor/Bd9okb4F4T9cKVapRQitA==" saltValue="p9GN20Ysb+dxnDm6SW3puA==" spinCount="100000" sheet="1" objects="1" scenarios="1" selectLockedCells="1"/>
  <protectedRanges>
    <protectedRange algorithmName="SHA-512" hashValue="0YoJGbVpHtwi5LFRpOdxeJx8ZpFBYx3GhXu6Fjpcjw55yx1D8Qjqj6rLHesSNsIn5Rdqp+yaUBWAf+HOv46flA==" saltValue="jeyoL4CC4l/qQS6B75a2Iw==" spinCount="100000" sqref="C21" name="School" securityDescriptor="O:WDG:WDD:(A;;CC;;;WD)"/>
    <protectedRange algorithmName="SHA-512" hashValue="9MFVY2yKxsNhBeAXSQTCJoLKccZTv60Z5zJB6zrwFQ8zxziQuohObLQsxdBBqB4vIPzL0+lVokNyhb3TzvwRGA==" saltValue="R30rPFXw8L97C81SCbPJQg==" spinCount="100000" sqref="H18:H20 C17:D17 E19:F20" name="Term" securityDescriptor="O:WDG:WDD:(A;;CC;;;WD)"/>
    <protectedRange algorithmName="SHA-512" hashValue="tcaqzEYbm69z/7UurF0RS2DSXQVwRhPrbdLYyqub26sBQbTglt9CfvdfVy+9Pq0ev2Ni2/+q/RQbirxMbEvq1Q==" saltValue="2w+1okO2yf5U6/daCNlPMw==" spinCount="100000" sqref="C15:F15 C16:G16" name="Class" securityDescriptor="O:WDG:WDD:(A;;CC;;;WD)"/>
    <protectedRange algorithmName="SHA-512" hashValue="BGesgIR4dsJlwslT/7Z/BiSRw6YgVWs4YDZOmueRxGOuBDhmAbc1VTUKlGo3aNE5UZRHqsBcab5yhypemk4ssw==" saltValue="Egg2S4/+k1IBvqrrvCP3Ag==" spinCount="100000" sqref="K3:K101" name="Names of puppils" securityDescriptor="O:WDG:WDD:(A;;CC;;;WD)"/>
    <protectedRange algorithmName="SHA-512" hashValue="14gOTE6eKFexHuT1T3KgO95hoQe8Hukp5JzK0q+eBvtqywqnRb2hGleqeCmOHYAnZL9NIdjUM3XV7+tXok6FgA==" saltValue="bqUabX5O/+1sBel19i7sDQ==" spinCount="100000" sqref="H16:H17 G15 I15 E17:G18 C18:D18" name="Class Size" securityDescriptor="O:WDG:WDD:(A;;CC;;;WD)"/>
    <protectedRange algorithmName="SHA-512" hashValue="cOIWnLaeNZCnMSXVSKmf5WGfMYpFFDHj4IuQyfRr3bIW383hriQeTR9gquuPJlHQZcCNVjEzn82ePo6NaMCVQg==" saltValue="f8U2T6UJqFHnF9uFuDe9og==" spinCount="100000" sqref="G19:G20" name="Year" securityDescriptor="O:WDG:WDD:(A;;CC;;;WD)"/>
  </protectedRanges>
  <customSheetViews>
    <customSheetView guid="{DAFF8696-ECB7-4E31-A620-00DEB4156F0C}">
      <selection activeCell="A2" sqref="A2:L105"/>
    </customSheetView>
  </customSheetViews>
  <mergeCells count="8">
    <mergeCell ref="C23:G23"/>
    <mergeCell ref="C21:G21"/>
    <mergeCell ref="G15:H15"/>
    <mergeCell ref="G17:H17"/>
    <mergeCell ref="C15:D15"/>
    <mergeCell ref="C17:D17"/>
    <mergeCell ref="C19:D19"/>
    <mergeCell ref="G19:I19"/>
  </mergeCells>
  <phoneticPr fontId="14" type="noConversion"/>
  <dataValidations count="5">
    <dataValidation allowBlank="1" showInputMessage="1" showErrorMessage="1" prompt="Enter your school name." sqref="C21" xr:uid="{87B3B71C-B395-4F9B-9F6C-2096D7FF4866}"/>
    <dataValidation type="custom" operator="greaterThan" showInputMessage="1" showErrorMessage="1" errorTitle="Invalid Data" error="Please enter a valid number of times school was open for the term selected." prompt="Enter the number of times school was open." sqref="G17:H17" xr:uid="{AA11E7AE-1F69-4D59-AAE9-9F9937C7E627}">
      <formula1>OR(AND(ISNUMBER(total_attendance), total_attendance&gt;10, total_attendance&lt;100), total_attendance="-----")</formula1>
    </dataValidation>
    <dataValidation type="date" errorStyle="warning" operator="greaterThan" allowBlank="1" showInputMessage="1" showErrorMessage="1" errorTitle="Invalid Data" error="Enter a valid date._x000a_" prompt="Enter the date that school will reopen." sqref="H19:I20 G19" xr:uid="{923B951D-DB83-40C7-89C3-8DAEBB03DE90}">
      <formula1>45292</formula1>
    </dataValidation>
    <dataValidation type="textLength" errorStyle="warning" operator="lessThan" allowBlank="1" showInputMessage="1" showErrorMessage="1" errorTitle="Invalid Name" error="The student name must not be greater than 50 characters" sqref="K3:K101" xr:uid="{438A9464-872C-4447-BB41-A13445F08A8F}">
      <formula1>51</formula1>
    </dataValidation>
    <dataValidation type="date" errorStyle="warning" operator="greaterThan" allowBlank="1" showInputMessage="1" showErrorMessage="1" error="Please enter a valid date" prompt="Enter the date this report card will be given to the students." sqref="C19:D19" xr:uid="{B1234318-8C53-4589-B5CD-DE7B1E74D7C7}">
      <formula1>45292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ResetWorkbook">
          <controlPr defaultSize="0" autoFill="0" autoLine="0" r:id="rId5">
            <anchor>
              <from>
                <xdr:col>2</xdr:col>
                <xdr:colOff>276225</xdr:colOff>
                <xdr:row>44</xdr:row>
                <xdr:rowOff>66675</xdr:rowOff>
              </from>
              <to>
                <xdr:col>6</xdr:col>
                <xdr:colOff>228600</xdr:colOff>
                <xdr:row>47</xdr:row>
                <xdr:rowOff>28575</xdr:rowOff>
              </to>
            </anchor>
          </controlPr>
        </control>
      </mc:Choice>
      <mc:Fallback>
        <control shapeId="1046" r:id="rId4" name="ResetWorkbook"/>
      </mc:Fallback>
    </mc:AlternateContent>
    <mc:AlternateContent xmlns:mc="http://schemas.openxmlformats.org/markup-compatibility/2006">
      <mc:Choice Requires="x14">
        <control shapeId="1047" r:id="rId6" name="ToggleStatusBar">
          <controlPr defaultSize="0" autoLine="0" r:id="rId7">
            <anchor moveWithCells="1">
              <from>
                <xdr:col>0</xdr:col>
                <xdr:colOff>676275</xdr:colOff>
                <xdr:row>47</xdr:row>
                <xdr:rowOff>180975</xdr:rowOff>
              </from>
              <to>
                <xdr:col>4</xdr:col>
                <xdr:colOff>57150</xdr:colOff>
                <xdr:row>50</xdr:row>
                <xdr:rowOff>47625</xdr:rowOff>
              </to>
            </anchor>
          </controlPr>
        </control>
      </mc:Choice>
      <mc:Fallback>
        <control shapeId="1047" r:id="rId6" name="ToggleStatusBar"/>
      </mc:Fallback>
    </mc:AlternateContent>
    <mc:AlternateContent xmlns:mc="http://schemas.openxmlformats.org/markup-compatibility/2006">
      <mc:Choice Requires="x14">
        <control shapeId="1048" r:id="rId8" name="ToggleRibbons">
          <controlPr defaultSize="0" autoLine="0" r:id="rId9">
            <anchor moveWithCells="1">
              <from>
                <xdr:col>4</xdr:col>
                <xdr:colOff>533400</xdr:colOff>
                <xdr:row>47</xdr:row>
                <xdr:rowOff>190500</xdr:rowOff>
              </from>
              <to>
                <xdr:col>8</xdr:col>
                <xdr:colOff>209550</xdr:colOff>
                <xdr:row>50</xdr:row>
                <xdr:rowOff>57150</xdr:rowOff>
              </to>
            </anchor>
          </controlPr>
        </control>
      </mc:Choice>
      <mc:Fallback>
        <control shapeId="1048" r:id="rId8" name="ToggleRibbons"/>
      </mc:Fallback>
    </mc:AlternateContent>
    <mc:AlternateContent xmlns:mc="http://schemas.openxmlformats.org/markup-compatibility/2006">
      <mc:Choice Requires="x14">
        <control shapeId="1049" r:id="rId10" name="ToggleFormulaBar">
          <controlPr defaultSize="0" autoLine="0" r:id="rId11">
            <anchor moveWithCells="1">
              <from>
                <xdr:col>2</xdr:col>
                <xdr:colOff>457200</xdr:colOff>
                <xdr:row>51</xdr:row>
                <xdr:rowOff>57150</xdr:rowOff>
              </from>
              <to>
                <xdr:col>6</xdr:col>
                <xdr:colOff>76200</xdr:colOff>
                <xdr:row>54</xdr:row>
                <xdr:rowOff>19050</xdr:rowOff>
              </to>
            </anchor>
          </controlPr>
        </control>
      </mc:Choice>
      <mc:Fallback>
        <control shapeId="1049" r:id="rId10" name="ToggleFormulaB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Select one of the terms (FIRST, SECOND, THIRD) from the list" xr:uid="{798359A9-749E-47B7-9964-2BC0C7DF92F3}">
          <x14:formula1>
            <xm:f>SETTINGS!$C$27:$C$29</xm:f>
          </x14:formula1>
          <xm:sqref>C17:D17</xm:sqref>
        </x14:dataValidation>
        <x14:dataValidation type="list" allowBlank="1" showInputMessage="1" showErrorMessage="1" error="Select from the list of class  (B4, B5, B6)" promptTitle="Class" prompt="Select the class." xr:uid="{9E7B2B46-A855-4F76-8F0F-C9FA6D76EC6A}">
          <x14:formula1>
            <xm:f>SETTINGS!$B$27:$B$29</xm:f>
          </x14:formula1>
          <xm:sqref>C15:D15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BC8C-5590-424E-878E-0E61CFCE1CA7}">
  <sheetPr codeName="Sheet3"/>
  <dimension ref="A1:L112"/>
  <sheetViews>
    <sheetView zoomScaleNormal="100" workbookViewId="0">
      <selection activeCell="I6" sqref="I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7" width="6.85546875" style="38" customWidth="1"/>
    <col min="8" max="8" width="6.85546875" style="25" customWidth="1"/>
    <col min="9" max="9" width="7.28515625" style="3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3"/>
      <c r="I1" s="134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14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4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4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4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4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4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4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4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4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4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4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4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4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4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4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4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4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4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4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4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4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4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4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4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4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4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4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4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4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4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4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4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4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4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4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4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4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4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4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4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4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4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4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4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4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4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4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4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4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4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4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4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4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4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4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4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4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4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4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4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4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4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4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4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4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4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4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4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4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4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4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4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4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4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4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4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4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4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4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4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4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4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4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4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4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4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4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4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4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4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4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4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4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4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4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4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4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4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4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4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 s="37"/>
      <c r="H104" s="24"/>
      <c r="I104" s="35"/>
      <c r="J104"/>
      <c r="K104"/>
      <c r="L104" s="21"/>
    </row>
    <row r="105" spans="1:12" x14ac:dyDescent="0.25">
      <c r="A105"/>
      <c r="B105"/>
      <c r="C105"/>
      <c r="D105"/>
      <c r="E105"/>
      <c r="F105"/>
      <c r="G105" s="37"/>
      <c r="H105" s="24"/>
      <c r="I105" s="35"/>
      <c r="J105"/>
      <c r="K105"/>
      <c r="L105" s="21"/>
    </row>
    <row r="106" spans="1:12" x14ac:dyDescent="0.25">
      <c r="A106"/>
      <c r="B106"/>
      <c r="C106"/>
      <c r="D106"/>
      <c r="E106"/>
      <c r="F106"/>
      <c r="G106" s="37"/>
      <c r="H106" s="24"/>
      <c r="I106" s="35"/>
      <c r="J106"/>
      <c r="K106"/>
      <c r="L106" s="21"/>
    </row>
    <row r="107" spans="1:12" x14ac:dyDescent="0.25">
      <c r="A107"/>
      <c r="B107"/>
      <c r="C107"/>
      <c r="D107"/>
      <c r="E107"/>
      <c r="F107"/>
      <c r="G107" s="37"/>
      <c r="H107" s="24"/>
      <c r="I107" s="35"/>
      <c r="J107"/>
      <c r="K107"/>
      <c r="L107" s="21"/>
    </row>
    <row r="108" spans="1:12" x14ac:dyDescent="0.25">
      <c r="A108"/>
      <c r="B108"/>
      <c r="C108"/>
      <c r="D108"/>
      <c r="E108"/>
      <c r="F108"/>
      <c r="G108" s="37"/>
      <c r="H108" s="24"/>
      <c r="I108" s="35"/>
      <c r="J108"/>
      <c r="K108"/>
      <c r="L108" s="21"/>
    </row>
    <row r="109" spans="1:12" x14ac:dyDescent="0.25">
      <c r="A109"/>
      <c r="B109"/>
      <c r="C109"/>
      <c r="D109"/>
      <c r="E109"/>
      <c r="F109"/>
      <c r="G109" s="37"/>
      <c r="H109" s="24"/>
      <c r="I109" s="35"/>
      <c r="J109"/>
      <c r="K109"/>
      <c r="L109" s="21"/>
    </row>
    <row r="110" spans="1:12" x14ac:dyDescent="0.25">
      <c r="A110"/>
      <c r="B110"/>
      <c r="C110"/>
      <c r="D110"/>
      <c r="E110"/>
      <c r="F110"/>
      <c r="G110" s="37"/>
      <c r="H110" s="24"/>
      <c r="I110" s="35"/>
      <c r="J110"/>
      <c r="K110"/>
      <c r="L110" s="21"/>
    </row>
    <row r="111" spans="1:12" x14ac:dyDescent="0.25">
      <c r="A111"/>
      <c r="B111"/>
      <c r="C111"/>
      <c r="D111"/>
      <c r="E111"/>
      <c r="F111"/>
      <c r="G111" s="37"/>
      <c r="H111" s="24"/>
      <c r="I111" s="35"/>
      <c r="J111"/>
      <c r="K111"/>
      <c r="L111" s="21"/>
    </row>
    <row r="112" spans="1:12" x14ac:dyDescent="0.25">
      <c r="A112"/>
      <c r="B112"/>
      <c r="C112"/>
      <c r="D112"/>
      <c r="E112"/>
      <c r="F112"/>
      <c r="G112" s="37"/>
      <c r="H112" s="24"/>
      <c r="I112" s="35"/>
      <c r="J112"/>
      <c r="K112"/>
      <c r="L112" s="21"/>
    </row>
  </sheetData>
  <sheetProtection algorithmName="SHA-512" hashValue="AXxT8E+aHvXLydd5/LUzz2F3JM9b2QcnImJfYE5MgCEiIfKUjwLv5CGSijj59gmiYEXPjK/aOQFW3+f6Pi8E9g==" saltValue="3k2QG9V+kGGlilZmqAhDIQ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>
      <selection activeCell="F6" sqref="F6"/>
    </customSheetView>
  </customSheetViews>
  <mergeCells count="10">
    <mergeCell ref="L2:L4"/>
    <mergeCell ref="A2:A4"/>
    <mergeCell ref="A1:K1"/>
    <mergeCell ref="G2:G4"/>
    <mergeCell ref="H2:H4"/>
    <mergeCell ref="J2:J4"/>
    <mergeCell ref="C2:F2"/>
    <mergeCell ref="B2:B4"/>
    <mergeCell ref="K2:K4"/>
    <mergeCell ref="I2:I3"/>
  </mergeCells>
  <dataValidations count="4">
    <dataValidation type="decimal" allowBlank="1" showInputMessage="1" showErrorMessage="1" errorTitle="Invalid Input" error="Please enter a number between 0 and 30." prompt="Enter a  number between 0 and 30." sqref="C5:C103" xr:uid="{B995BAD5-8385-4B5C-86B7-6C6B5D293DF1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B9AE983D-6078-4DD7-B0A4-D743C233FDC1}">
      <formula1>0</formula1>
      <formula2>20</formula2>
    </dataValidation>
    <dataValidation type="decimal" allowBlank="1" showInputMessage="1" showErrorMessage="1" errorTitle="Invalid Input" error="Please enter a number between 0 and 30." prompt="Enter a number between 0 and 30." sqref="E5:E103" xr:uid="{FA7C1571-A080-434E-8315-68A583FDC182}">
      <formula1>0</formula1>
      <formula2>30</formula2>
    </dataValidation>
    <dataValidation type="decimal" allowBlank="1" showInputMessage="1" showErrorMessage="1" errorTitle="Invalid Input" error="Please enter a number between 0 and 100." prompt="Enter a  number between 0 and 100." sqref="I5:I103" xr:uid="{89561E86-5549-4855-9B4D-82ECE69DECD7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58F7-704D-4ABB-AEF7-F3F737117DFE}">
  <sheetPr codeName="Sheet4"/>
  <dimension ref="A1:L112"/>
  <sheetViews>
    <sheetView zoomScaleNormal="100" workbookViewId="0">
      <selection activeCell="C6" sqref="C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+xIBJS4P61N0M/5DMtZCIb4GjZYo7uqWXfgikVSa24wD4BXl9HIHurbtNz1ZSheWDMUrjgVhNqyGss+E0byEiA==" saltValue="bIKMzl4FxfHHyqyMsQIGtA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>
      <selection activeCell="F6" sqref="F6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100." prompt="Enter a  number between 0 and 100." sqref="I5:I103" xr:uid="{54EEA9F1-C98F-45A5-9DCA-347F88D64E81}">
      <formula1>0</formula1>
      <formula2>100</formula2>
    </dataValidation>
    <dataValidation type="decimal" allowBlank="1" showInputMessage="1" showErrorMessage="1" errorTitle="Invalid Input" error="Please enter a number between 0 and 30." prompt="Enter a number between 0 and 30." sqref="E5:E103" xr:uid="{B5C6BC00-ACA2-446F-A57F-90FBD1476D24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973373F6-32A4-4ECF-95CB-53AC944E1320}">
      <formula1>0</formula1>
      <formula2>20</formula2>
    </dataValidation>
    <dataValidation type="decimal" allowBlank="1" showInputMessage="1" showErrorMessage="1" errorTitle="Invalid Input" error="Please enter a number between 0 and 30." prompt="Enter a  number between 0 and 30." sqref="C5:C103" xr:uid="{ADB3AD03-C45A-4241-81C9-7447C99C3CB0}">
      <formula1>0</formula1>
      <formula2>30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FED53-90BE-4F20-A957-0F8BBF4CD90A}">
  <sheetPr codeName="Sheet5"/>
  <dimension ref="A1:L112"/>
  <sheetViews>
    <sheetView zoomScaleNormal="100" workbookViewId="0">
      <selection activeCell="C7" sqref="C7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47ZjAidDVyN+TqNivnotK9ZQbCGAf1+raOjWTL5pAbALTBOsWlt9bf2lB7z0PNGXtO+YjlwIvMTxXOOYz3t2+g==" saltValue="xDuJ1qmRUI+WnrCcD31euA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>
      <selection activeCell="D8" sqref="D8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xWindow="315" yWindow="596" count="4">
    <dataValidation type="decimal" allowBlank="1" showInputMessage="1" showErrorMessage="1" errorTitle="Invalid Input" error="Please enter a number between 0 and 100." prompt="Enter a  number between 0 and 100." sqref="I5:I103" xr:uid="{110C9514-2310-4F67-B5D0-70BC00725A65}">
      <formula1>0</formula1>
      <formula2>100</formula2>
    </dataValidation>
    <dataValidation type="decimal" allowBlank="1" showInputMessage="1" showErrorMessage="1" errorTitle="Invalid Input" error="Please enter a number between 0 and 30." prompt="Enter a number between 0 and 30." sqref="E5:E103" xr:uid="{ED8BAA54-444A-4AE9-86B7-7A3E4EFD987E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71E73586-B66B-4F91-A2C1-999AF6B05FAB}">
      <formula1>0</formula1>
      <formula2>20</formula2>
    </dataValidation>
    <dataValidation type="decimal" allowBlank="1" showInputMessage="1" showErrorMessage="1" errorTitle="Invalid Input" error="Please enter a number between 0 and 30." prompt="Enter a  number between 0 and 30." sqref="C5:C103" xr:uid="{D6B6CB34-9C0E-4F78-BE64-EAAF364F5011}">
      <formula1>0</formula1>
      <formula2>30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AF04A-3B87-4DBC-A6BC-BF18023FE51D}">
  <sheetPr codeName="Sheet6"/>
  <dimension ref="A1:L112"/>
  <sheetViews>
    <sheetView zoomScaleNormal="100" workbookViewId="0">
      <selection activeCell="I6" sqref="I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mz6uJQ6uXF/hIkEI8vyQlmKFDsgsHKJvyEu8ry4RBVPztgeRDvvS8rnwB2xCrkZDr+HuxpFS0m0HrVZ8kw5Esw==" saltValue="FqlGvtKHhYfsWTOuV2GuhQ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>
      <selection activeCell="D7" sqref="D7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30." prompt="Enter a  number between 0 and 30." sqref="C5:C103" xr:uid="{46A35632-6C8F-4C59-95C5-8132FE7436E8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EE4C2E18-3081-460B-A266-152A24C0F71D}">
      <formula1>0</formula1>
      <formula2>20</formula2>
    </dataValidation>
    <dataValidation type="decimal" allowBlank="1" showInputMessage="1" showErrorMessage="1" errorTitle="Invalid Input" error="Please enter a number between 0 and 30." prompt="Enter a number between 0 and 30." sqref="E5:E103" xr:uid="{B2142E57-AC6D-478B-8C17-8614833B2F85}">
      <formula1>0</formula1>
      <formula2>30</formula2>
    </dataValidation>
    <dataValidation type="decimal" allowBlank="1" showInputMessage="1" showErrorMessage="1" errorTitle="Invalid Input" error="Please enter a number between 0 and 100." prompt="Enter a  number between 0 and 100." sqref="I5:I103" xr:uid="{EB3147ED-E5A2-4FAD-A541-7068583C4062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FC46-54B2-4B4D-AB98-D6E4C23F1E6F}">
  <sheetPr codeName="Sheet11"/>
  <dimension ref="A1:L112"/>
  <sheetViews>
    <sheetView zoomScaleNormal="100" workbookViewId="0">
      <selection activeCell="C6" sqref="C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vT9PvewTHvTu384rFeGLVMVkbMZdvpoFnbiuFRQ0Tj40NKZ1BiWFmEGJuOom6nk/VhIEnpCHOm2h2e3z1UNuCA==" saltValue="cyQ+8jc3vnQrb2bJ4Iy77g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 topLeftCell="A2">
      <selection activeCell="F12" sqref="F12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100." prompt="Enter a  number between 0 and 100." sqref="I5:I103" xr:uid="{53A15EDF-11F1-4A35-9AC5-252399AE786E}">
      <formula1>0</formula1>
      <formula2>100</formula2>
    </dataValidation>
    <dataValidation type="decimal" allowBlank="1" showInputMessage="1" showErrorMessage="1" errorTitle="Invalid Input" error="Please enter a number between 0 and 30." prompt="Enter a number between 0 and 30." sqref="E5:E103" xr:uid="{A916F6D7-F99A-4C23-9707-67358CC21C52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CCDCA70A-1902-4F96-BCD6-7EED5C6433AD}">
      <formula1>0</formula1>
      <formula2>20</formula2>
    </dataValidation>
    <dataValidation type="decimal" allowBlank="1" showInputMessage="1" showErrorMessage="1" errorTitle="Invalid Input" error="Please enter a number between 0 and 30." prompt="Enter a  number between 0 and 30." sqref="C5:C103" xr:uid="{87E70BB8-1FCD-452E-9778-4B82F22EAF43}">
      <formula1>0</formula1>
      <formula2>30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7E57-DCC5-4958-990A-57B37CB0E490}">
  <sheetPr codeName="Sheet7"/>
  <dimension ref="A1:L112"/>
  <sheetViews>
    <sheetView zoomScaleNormal="100" workbookViewId="0">
      <selection activeCell="E6" sqref="E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KiVU6JbyQlu5II2fyyXBCfrdQJk7kYDRZWhqyzqv3wIMrDZsAfDoKoCBOWIftL14QJXzjtmKo+21oTmENFw+mw==" saltValue="mccEAnlPER3O6jWDLiamIw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 topLeftCell="A2">
      <selection activeCell="D12" sqref="D12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100." prompt="Enter a  number between 0 and 100." sqref="I5:I103" xr:uid="{B3ABD24A-E63B-470E-B69A-C20A61622953}">
      <formula1>0</formula1>
      <formula2>100</formula2>
    </dataValidation>
    <dataValidation type="decimal" allowBlank="1" showInputMessage="1" showErrorMessage="1" errorTitle="Invalid Input" error="Please enter a number between 0 and 30." prompt="Enter a number between 0 and 30." sqref="E5:E103" xr:uid="{1E8F997E-DC70-4C3D-A4C1-3FC8EDAD4958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EB1AD92C-F95C-4E00-9F36-785C588C438D}">
      <formula1>0</formula1>
      <formula2>20</formula2>
    </dataValidation>
    <dataValidation type="decimal" allowBlank="1" showInputMessage="1" showErrorMessage="1" errorTitle="Invalid Input" error="Please enter a number between 0 and 30." prompt="Enter a  number between 0 and 30." sqref="C5:C103" xr:uid="{4CE550D2-83DF-4EA4-BFF2-3E35E9021232}">
      <formula1>0</formula1>
      <formula2>30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631ED-4D31-4E05-90D7-052CD76A51FA}">
  <sheetPr codeName="Sheet9"/>
  <dimension ref="A1:L112"/>
  <sheetViews>
    <sheetView zoomScaleNormal="100" workbookViewId="0">
      <selection activeCell="I7" sqref="I7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fngrMVgIT6GZpa5/W64VxXxRp+TjKBIIbxTNuBQl3zL+Mn2eJ2YVsvyR7vjJnKZI5QnjMk8SoYiEgUv1Fg5Sbg==" saltValue="12NfrvwWFVQd6BKXLvWnuA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 topLeftCell="A2">
      <selection activeCell="E13" sqref="E13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100." prompt="Enter a  number between 0 and 100." sqref="I5:I103" xr:uid="{5342238A-7F49-44C4-866B-1CA179CA5E74}">
      <formula1>0</formula1>
      <formula2>100</formula2>
    </dataValidation>
    <dataValidation type="decimal" allowBlank="1" showInputMessage="1" showErrorMessage="1" errorTitle="Invalid Input" error="Please enter a number between 0 and 30." prompt="Enter a number between 0 and 30." sqref="E5:E103" xr:uid="{074F898F-9206-44FF-8EEB-5D21E71D2C26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B39BD765-D1A8-4688-96BD-0038CE9DC753}">
      <formula1>0</formula1>
      <formula2>20</formula2>
    </dataValidation>
    <dataValidation type="decimal" allowBlank="1" showInputMessage="1" showErrorMessage="1" errorTitle="Invalid Input" error="Please enter a number between 0 and 30." prompt="Enter a  number between 0 and 30." sqref="C5:C103" xr:uid="{D529D4D9-8F82-4F92-8697-4FF917904AB4}">
      <formula1>0</formula1>
      <formula2>30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3CAE-E5F8-4535-9409-68F90C1E6364}">
  <sheetPr codeName="Sheet8"/>
  <dimension ref="A1:L112"/>
  <sheetViews>
    <sheetView zoomScaleNormal="100" workbookViewId="0">
      <selection activeCell="I6" sqref="I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UAtEZciA+PHfjFt7wem46IgkdzTywU1kLAeMsR5RMNtA6bTFCc7xHHD9LMw8LkIBmccxnsDFfvbBbbUM5Q8QFg==" saltValue="1nqttLgQGrrYrViu53otkA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 topLeftCell="A2">
      <selection activeCell="D15" sqref="D15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30." prompt="Enter a  number between 0 and 30." sqref="C5:C103" xr:uid="{5736EF32-C66A-4BEE-A669-5CF1F782A015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A124865D-E512-403E-B4A1-8363116E47E3}">
      <formula1>0</formula1>
      <formula2>20</formula2>
    </dataValidation>
    <dataValidation type="decimal" allowBlank="1" showInputMessage="1" showErrorMessage="1" errorTitle="Invalid Input" error="Please enter a number between 0 and 30." prompt="Enter a number between 0 and 30." sqref="E5:E103" xr:uid="{27293D69-0305-4EAB-9EC0-D975501504A4}">
      <formula1>0</formula1>
      <formula2>30</formula2>
    </dataValidation>
    <dataValidation type="decimal" allowBlank="1" showInputMessage="1" showErrorMessage="1" errorTitle="Invalid Input" error="Please enter a number between 0 and 100." prompt="Enter a  number between 0 and 100." sqref="I5:I103" xr:uid="{9C0A67E7-9ACC-4154-885C-5DD6BE3B8F68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4E1E3-C524-479D-B0BC-7F722053AC82}">
  <sheetPr codeName="Sheet10"/>
  <dimension ref="A1:L112"/>
  <sheetViews>
    <sheetView zoomScaleNormal="100" workbookViewId="0">
      <selection activeCell="I6" sqref="I6"/>
    </sheetView>
  </sheetViews>
  <sheetFormatPr defaultRowHeight="15" x14ac:dyDescent="0.25"/>
  <cols>
    <col min="1" max="1" width="6.28515625" style="12" customWidth="1"/>
    <col min="2" max="2" width="26.85546875" style="5" customWidth="1"/>
    <col min="3" max="3" width="5.28515625" style="17" customWidth="1"/>
    <col min="4" max="4" width="6.140625" style="17" customWidth="1"/>
    <col min="5" max="5" width="5.140625" style="17" customWidth="1"/>
    <col min="6" max="6" width="5.28515625" style="17" customWidth="1"/>
    <col min="7" max="8" width="6.85546875" style="18" customWidth="1"/>
    <col min="9" max="9" width="7.28515625" style="6" customWidth="1"/>
    <col min="10" max="10" width="6.5703125" style="18" customWidth="1"/>
    <col min="11" max="11" width="6.7109375" style="18" customWidth="1"/>
    <col min="12" max="12" width="5.140625" style="20" customWidth="1"/>
  </cols>
  <sheetData>
    <row r="1" spans="1:12" ht="128.25" customHeight="1" x14ac:dyDescent="0.25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9"/>
    </row>
    <row r="2" spans="1:12" ht="15" customHeight="1" x14ac:dyDescent="0.25">
      <c r="A2" s="129" t="s">
        <v>0</v>
      </c>
      <c r="B2" s="137" t="s">
        <v>11</v>
      </c>
      <c r="C2" s="136" t="s">
        <v>8</v>
      </c>
      <c r="D2" s="136"/>
      <c r="E2" s="136"/>
      <c r="F2" s="136"/>
      <c r="G2" s="135" t="s">
        <v>10</v>
      </c>
      <c r="H2" s="135" t="s">
        <v>14</v>
      </c>
      <c r="I2" s="142" t="s">
        <v>12</v>
      </c>
      <c r="J2" s="135" t="s">
        <v>15</v>
      </c>
      <c r="K2" s="139" t="s">
        <v>16</v>
      </c>
      <c r="L2" s="126" t="s">
        <v>13</v>
      </c>
    </row>
    <row r="3" spans="1:12" ht="58.5" x14ac:dyDescent="0.25">
      <c r="A3" s="130"/>
      <c r="B3" s="138"/>
      <c r="C3" s="9" t="s">
        <v>5</v>
      </c>
      <c r="D3" s="22" t="s">
        <v>9</v>
      </c>
      <c r="E3" s="9" t="s">
        <v>6</v>
      </c>
      <c r="F3" s="9" t="s">
        <v>7</v>
      </c>
      <c r="G3" s="135"/>
      <c r="H3" s="135"/>
      <c r="I3" s="142"/>
      <c r="J3" s="135"/>
      <c r="K3" s="140"/>
      <c r="L3" s="127"/>
    </row>
    <row r="4" spans="1:12" x14ac:dyDescent="0.25">
      <c r="A4" s="131"/>
      <c r="B4" s="138"/>
      <c r="C4" s="10">
        <v>30</v>
      </c>
      <c r="D4" s="11">
        <v>20</v>
      </c>
      <c r="E4" s="10">
        <v>30</v>
      </c>
      <c r="F4" s="10">
        <v>20</v>
      </c>
      <c r="G4" s="135"/>
      <c r="H4" s="135"/>
      <c r="I4" s="11">
        <v>100</v>
      </c>
      <c r="J4" s="135"/>
      <c r="K4" s="141"/>
      <c r="L4" s="128"/>
    </row>
    <row r="5" spans="1:12" x14ac:dyDescent="0.25">
      <c r="A5" s="12" t="str" cm="1">
        <f t="array" ref="A5:B103">students &amp; ""</f>
        <v>1</v>
      </c>
      <c r="B5" s="5" t="str">
        <v/>
      </c>
      <c r="C5" s="33"/>
      <c r="D5" s="33"/>
      <c r="E5" s="33"/>
      <c r="F5" s="33"/>
      <c r="G5" s="23" t="str">
        <f>IF(SUM(C5:F5)=0, "", SUM(C5:F5))</f>
        <v/>
      </c>
      <c r="H5" s="15" t="str">
        <f>IFERROR(G5*50%, "")</f>
        <v/>
      </c>
      <c r="I5" s="33"/>
      <c r="J5" s="16" t="str">
        <f>IF(I5, I5*50%, "")</f>
        <v/>
      </c>
      <c r="K5" s="15" t="str">
        <f>IF(SUM(H5,J5)=0, "", SUM(H5,J5))</f>
        <v/>
      </c>
      <c r="L5" s="20" t="str" cm="1">
        <f t="array" ref="L5">IFERROR(OrdinalNumber(_xlfn.RANK.EQ(K5, $K$5:$K$103)), "")</f>
        <v/>
      </c>
    </row>
    <row r="6" spans="1:12" x14ac:dyDescent="0.25">
      <c r="A6" s="12" t="str">
        <v>2</v>
      </c>
      <c r="B6" s="5" t="str">
        <v/>
      </c>
      <c r="C6" s="33"/>
      <c r="D6" s="33"/>
      <c r="E6" s="33"/>
      <c r="F6" s="33"/>
      <c r="G6" s="23" t="str">
        <f t="shared" ref="G6:G69" si="0">IF(SUM(C6:F6)=0, "", SUM(C6:F6))</f>
        <v/>
      </c>
      <c r="H6" s="15" t="str">
        <f t="shared" ref="H6:H69" si="1">IFERROR(G6*50%, "")</f>
        <v/>
      </c>
      <c r="I6" s="33"/>
      <c r="J6" s="16" t="str">
        <f t="shared" ref="J6:J69" si="2">IF(I6, I6*50%, "")</f>
        <v/>
      </c>
      <c r="K6" s="15" t="str">
        <f t="shared" ref="K6:K69" si="3">IF(SUM(H6,J6)=0, "", SUM(H6,J6))</f>
        <v/>
      </c>
      <c r="L6" s="20" t="str" cm="1">
        <f t="array" ref="L6">IFERROR(OrdinalNumber(_xlfn.RANK.EQ(K6, $K$5:$K$103)), "")</f>
        <v/>
      </c>
    </row>
    <row r="7" spans="1:12" x14ac:dyDescent="0.25">
      <c r="A7" s="12" t="str">
        <v>3</v>
      </c>
      <c r="B7" s="5" t="str">
        <v/>
      </c>
      <c r="C7" s="33"/>
      <c r="D7" s="33"/>
      <c r="E7" s="33"/>
      <c r="F7" s="33"/>
      <c r="G7" s="23" t="str">
        <f t="shared" si="0"/>
        <v/>
      </c>
      <c r="H7" s="15" t="str">
        <f t="shared" si="1"/>
        <v/>
      </c>
      <c r="I7" s="33"/>
      <c r="J7" s="16" t="str">
        <f t="shared" si="2"/>
        <v/>
      </c>
      <c r="K7" s="15" t="str">
        <f t="shared" si="3"/>
        <v/>
      </c>
      <c r="L7" s="20" t="str" cm="1">
        <f t="array" ref="L7">IFERROR(OrdinalNumber(_xlfn.RANK.EQ(K7, $K$5:$K$103)), "")</f>
        <v/>
      </c>
    </row>
    <row r="8" spans="1:12" x14ac:dyDescent="0.25">
      <c r="A8" s="12" t="str">
        <v>4</v>
      </c>
      <c r="B8" s="5" t="str">
        <v/>
      </c>
      <c r="C8" s="33"/>
      <c r="D8" s="33"/>
      <c r="E8" s="33"/>
      <c r="F8" s="33"/>
      <c r="G8" s="23" t="str">
        <f t="shared" si="0"/>
        <v/>
      </c>
      <c r="H8" s="15" t="str">
        <f t="shared" si="1"/>
        <v/>
      </c>
      <c r="I8" s="33"/>
      <c r="J8" s="16" t="str">
        <f t="shared" si="2"/>
        <v/>
      </c>
      <c r="K8" s="15" t="str">
        <f t="shared" si="3"/>
        <v/>
      </c>
      <c r="L8" s="20" t="str" cm="1">
        <f t="array" ref="L8">IFERROR(OrdinalNumber(_xlfn.RANK.EQ(K8, $K$5:$K$103)), "")</f>
        <v/>
      </c>
    </row>
    <row r="9" spans="1:12" x14ac:dyDescent="0.25">
      <c r="A9" s="12" t="str">
        <v>5</v>
      </c>
      <c r="B9" s="5" t="str">
        <v/>
      </c>
      <c r="C9" s="33"/>
      <c r="D9" s="33"/>
      <c r="E9" s="33"/>
      <c r="F9" s="33"/>
      <c r="G9" s="23" t="str">
        <f t="shared" si="0"/>
        <v/>
      </c>
      <c r="H9" s="15" t="str">
        <f t="shared" si="1"/>
        <v/>
      </c>
      <c r="I9" s="33"/>
      <c r="J9" s="16" t="str">
        <f t="shared" si="2"/>
        <v/>
      </c>
      <c r="K9" s="15" t="str">
        <f t="shared" si="3"/>
        <v/>
      </c>
      <c r="L9" s="20" t="str" cm="1">
        <f t="array" ref="L9">IFERROR(OrdinalNumber(_xlfn.RANK.EQ(K9, $K$5:$K$103)), "")</f>
        <v/>
      </c>
    </row>
    <row r="10" spans="1:12" x14ac:dyDescent="0.25">
      <c r="A10" s="12" t="str">
        <v>6</v>
      </c>
      <c r="B10" s="5" t="str">
        <v/>
      </c>
      <c r="C10" s="33"/>
      <c r="D10" s="33"/>
      <c r="E10" s="33"/>
      <c r="F10" s="33"/>
      <c r="G10" s="23" t="str">
        <f t="shared" si="0"/>
        <v/>
      </c>
      <c r="H10" s="15" t="str">
        <f t="shared" si="1"/>
        <v/>
      </c>
      <c r="I10" s="33"/>
      <c r="J10" s="16" t="str">
        <f t="shared" si="2"/>
        <v/>
      </c>
      <c r="K10" s="15" t="str">
        <f t="shared" si="3"/>
        <v/>
      </c>
      <c r="L10" s="20" t="str" cm="1">
        <f t="array" ref="L10">IFERROR(OrdinalNumber(_xlfn.RANK.EQ(K10, $K$5:$K$103)), "")</f>
        <v/>
      </c>
    </row>
    <row r="11" spans="1:12" ht="16.5" customHeight="1" x14ac:dyDescent="0.25">
      <c r="A11" s="12" t="str">
        <v>7</v>
      </c>
      <c r="B11" s="5" t="str">
        <v/>
      </c>
      <c r="C11" s="33"/>
      <c r="D11" s="33"/>
      <c r="E11" s="33"/>
      <c r="F11" s="33"/>
      <c r="G11" s="23" t="str">
        <f t="shared" si="0"/>
        <v/>
      </c>
      <c r="H11" s="15" t="str">
        <f t="shared" si="1"/>
        <v/>
      </c>
      <c r="I11" s="33"/>
      <c r="J11" s="16" t="str">
        <f t="shared" si="2"/>
        <v/>
      </c>
      <c r="K11" s="15" t="str">
        <f t="shared" si="3"/>
        <v/>
      </c>
      <c r="L11" s="20" t="str" cm="1">
        <f t="array" ref="L11">IFERROR(OrdinalNumber(_xlfn.RANK.EQ(K11, $K$5:$K$103)), "")</f>
        <v/>
      </c>
    </row>
    <row r="12" spans="1:12" x14ac:dyDescent="0.25">
      <c r="A12" s="12" t="str">
        <v>8</v>
      </c>
      <c r="B12" s="5" t="str">
        <v/>
      </c>
      <c r="C12" s="33"/>
      <c r="D12" s="33"/>
      <c r="E12" s="33"/>
      <c r="F12" s="33"/>
      <c r="G12" s="23" t="str">
        <f t="shared" si="0"/>
        <v/>
      </c>
      <c r="H12" s="15" t="str">
        <f t="shared" si="1"/>
        <v/>
      </c>
      <c r="I12" s="33"/>
      <c r="J12" s="16" t="str">
        <f t="shared" si="2"/>
        <v/>
      </c>
      <c r="K12" s="15" t="str">
        <f t="shared" si="3"/>
        <v/>
      </c>
      <c r="L12" s="20" t="str" cm="1">
        <f t="array" ref="L12">IFERROR(OrdinalNumber(_xlfn.RANK.EQ(K12, $K$5:$K$103)), "")</f>
        <v/>
      </c>
    </row>
    <row r="13" spans="1:12" x14ac:dyDescent="0.25">
      <c r="A13" s="12" t="str">
        <v>9</v>
      </c>
      <c r="B13" s="5" t="str">
        <v/>
      </c>
      <c r="C13" s="33"/>
      <c r="D13" s="33"/>
      <c r="E13" s="33"/>
      <c r="F13" s="33"/>
      <c r="G13" s="23" t="str">
        <f t="shared" si="0"/>
        <v/>
      </c>
      <c r="H13" s="15" t="str">
        <f t="shared" si="1"/>
        <v/>
      </c>
      <c r="I13" s="33"/>
      <c r="J13" s="16" t="str">
        <f t="shared" si="2"/>
        <v/>
      </c>
      <c r="K13" s="15" t="str">
        <f t="shared" si="3"/>
        <v/>
      </c>
      <c r="L13" s="20" t="str" cm="1">
        <f t="array" ref="L13">IFERROR(OrdinalNumber(_xlfn.RANK.EQ(K13, $K$5:$K$103)), "")</f>
        <v/>
      </c>
    </row>
    <row r="14" spans="1:12" x14ac:dyDescent="0.25">
      <c r="A14" s="12" t="str">
        <v>10</v>
      </c>
      <c r="B14" s="5" t="str">
        <v/>
      </c>
      <c r="C14" s="33"/>
      <c r="D14" s="33"/>
      <c r="E14" s="33"/>
      <c r="F14" s="33"/>
      <c r="G14" s="23" t="str">
        <f t="shared" si="0"/>
        <v/>
      </c>
      <c r="H14" s="15" t="str">
        <f t="shared" si="1"/>
        <v/>
      </c>
      <c r="I14" s="33"/>
      <c r="J14" s="16" t="str">
        <f t="shared" si="2"/>
        <v/>
      </c>
      <c r="K14" s="15" t="str">
        <f t="shared" si="3"/>
        <v/>
      </c>
      <c r="L14" s="20" t="str" cm="1">
        <f t="array" ref="L14">IFERROR(OrdinalNumber(_xlfn.RANK.EQ(K14, $K$5:$K$103)), "")</f>
        <v/>
      </c>
    </row>
    <row r="15" spans="1:12" x14ac:dyDescent="0.25">
      <c r="A15" s="12" t="str">
        <v>11</v>
      </c>
      <c r="B15" s="5" t="str">
        <v/>
      </c>
      <c r="C15" s="33"/>
      <c r="D15" s="33"/>
      <c r="E15" s="33"/>
      <c r="F15" s="33"/>
      <c r="G15" s="23" t="str">
        <f t="shared" si="0"/>
        <v/>
      </c>
      <c r="H15" s="15" t="str">
        <f t="shared" si="1"/>
        <v/>
      </c>
      <c r="I15" s="33"/>
      <c r="J15" s="16" t="str">
        <f t="shared" si="2"/>
        <v/>
      </c>
      <c r="K15" s="15" t="str">
        <f t="shared" si="3"/>
        <v/>
      </c>
      <c r="L15" s="20" t="str" cm="1">
        <f t="array" ref="L15">IFERROR(OrdinalNumber(_xlfn.RANK.EQ(K15, $K$5:$K$103)), "")</f>
        <v/>
      </c>
    </row>
    <row r="16" spans="1:12" x14ac:dyDescent="0.25">
      <c r="A16" s="12" t="str">
        <v>12</v>
      </c>
      <c r="B16" s="5" t="str">
        <v/>
      </c>
      <c r="C16" s="33"/>
      <c r="D16" s="33"/>
      <c r="E16" s="33"/>
      <c r="F16" s="33"/>
      <c r="G16" s="23" t="str">
        <f t="shared" si="0"/>
        <v/>
      </c>
      <c r="H16" s="15" t="str">
        <f t="shared" si="1"/>
        <v/>
      </c>
      <c r="I16" s="33"/>
      <c r="J16" s="16" t="str">
        <f t="shared" si="2"/>
        <v/>
      </c>
      <c r="K16" s="15" t="str">
        <f t="shared" si="3"/>
        <v/>
      </c>
      <c r="L16" s="20" t="str" cm="1">
        <f t="array" ref="L16">IFERROR(OrdinalNumber(_xlfn.RANK.EQ(K16, $K$5:$K$103)), "")</f>
        <v/>
      </c>
    </row>
    <row r="17" spans="1:12" x14ac:dyDescent="0.25">
      <c r="A17" s="12" t="str">
        <v>13</v>
      </c>
      <c r="B17" s="5" t="str">
        <v/>
      </c>
      <c r="C17" s="33"/>
      <c r="D17" s="33"/>
      <c r="E17" s="33"/>
      <c r="F17" s="33"/>
      <c r="G17" s="23" t="str">
        <f t="shared" si="0"/>
        <v/>
      </c>
      <c r="H17" s="15" t="str">
        <f t="shared" si="1"/>
        <v/>
      </c>
      <c r="I17" s="33"/>
      <c r="J17" s="16" t="str">
        <f t="shared" si="2"/>
        <v/>
      </c>
      <c r="K17" s="15" t="str">
        <f t="shared" si="3"/>
        <v/>
      </c>
      <c r="L17" s="20" t="str" cm="1">
        <f t="array" ref="L17">IFERROR(OrdinalNumber(_xlfn.RANK.EQ(K17, $K$5:$K$103)), "")</f>
        <v/>
      </c>
    </row>
    <row r="18" spans="1:12" x14ac:dyDescent="0.25">
      <c r="A18" s="12" t="str">
        <v>14</v>
      </c>
      <c r="B18" s="5" t="str">
        <v/>
      </c>
      <c r="C18" s="33"/>
      <c r="D18" s="33"/>
      <c r="E18" s="33"/>
      <c r="F18" s="33"/>
      <c r="G18" s="23" t="str">
        <f t="shared" si="0"/>
        <v/>
      </c>
      <c r="H18" s="15" t="str">
        <f t="shared" si="1"/>
        <v/>
      </c>
      <c r="I18" s="33"/>
      <c r="J18" s="16" t="str">
        <f t="shared" si="2"/>
        <v/>
      </c>
      <c r="K18" s="15" t="str">
        <f t="shared" si="3"/>
        <v/>
      </c>
      <c r="L18" s="20" t="str" cm="1">
        <f t="array" ref="L18">IFERROR(OrdinalNumber(_xlfn.RANK.EQ(K18, $K$5:$K$103)), "")</f>
        <v/>
      </c>
    </row>
    <row r="19" spans="1:12" x14ac:dyDescent="0.25">
      <c r="A19" s="12" t="str">
        <v>15</v>
      </c>
      <c r="B19" s="5" t="str">
        <v/>
      </c>
      <c r="C19" s="33"/>
      <c r="D19" s="33"/>
      <c r="E19" s="33"/>
      <c r="F19" s="33"/>
      <c r="G19" s="23" t="str">
        <f t="shared" si="0"/>
        <v/>
      </c>
      <c r="H19" s="15" t="str">
        <f t="shared" si="1"/>
        <v/>
      </c>
      <c r="I19" s="33"/>
      <c r="J19" s="16" t="str">
        <f t="shared" si="2"/>
        <v/>
      </c>
      <c r="K19" s="15" t="str">
        <f t="shared" si="3"/>
        <v/>
      </c>
      <c r="L19" s="20" t="str" cm="1">
        <f t="array" ref="L19">IFERROR(OrdinalNumber(_xlfn.RANK.EQ(K19, $K$5:$K$103)), "")</f>
        <v/>
      </c>
    </row>
    <row r="20" spans="1:12" x14ac:dyDescent="0.25">
      <c r="A20" s="12" t="str">
        <v>16</v>
      </c>
      <c r="B20" s="5" t="str">
        <v/>
      </c>
      <c r="C20" s="33"/>
      <c r="D20" s="33"/>
      <c r="E20" s="33"/>
      <c r="F20" s="33"/>
      <c r="G20" s="23" t="str">
        <f t="shared" si="0"/>
        <v/>
      </c>
      <c r="H20" s="15" t="str">
        <f t="shared" si="1"/>
        <v/>
      </c>
      <c r="I20" s="33"/>
      <c r="J20" s="16" t="str">
        <f t="shared" si="2"/>
        <v/>
      </c>
      <c r="K20" s="15" t="str">
        <f t="shared" si="3"/>
        <v/>
      </c>
      <c r="L20" s="20" t="str" cm="1">
        <f t="array" ref="L20">IFERROR(OrdinalNumber(_xlfn.RANK.EQ(K20, $K$5:$K$103)), "")</f>
        <v/>
      </c>
    </row>
    <row r="21" spans="1:12" x14ac:dyDescent="0.25">
      <c r="A21" s="12" t="str">
        <v>17</v>
      </c>
      <c r="B21" s="5" t="str">
        <v/>
      </c>
      <c r="C21" s="33"/>
      <c r="D21" s="33"/>
      <c r="E21" s="33"/>
      <c r="F21" s="33"/>
      <c r="G21" s="23" t="str">
        <f t="shared" si="0"/>
        <v/>
      </c>
      <c r="H21" s="15" t="str">
        <f t="shared" si="1"/>
        <v/>
      </c>
      <c r="I21" s="33"/>
      <c r="J21" s="16" t="str">
        <f t="shared" si="2"/>
        <v/>
      </c>
      <c r="K21" s="15" t="str">
        <f t="shared" si="3"/>
        <v/>
      </c>
      <c r="L21" s="20" t="str" cm="1">
        <f t="array" ref="L21">IFERROR(OrdinalNumber(_xlfn.RANK.EQ(K21, $K$5:$K$103)), "")</f>
        <v/>
      </c>
    </row>
    <row r="22" spans="1:12" x14ac:dyDescent="0.25">
      <c r="A22" s="12" t="str">
        <v>18</v>
      </c>
      <c r="B22" s="5" t="str">
        <v/>
      </c>
      <c r="C22" s="33"/>
      <c r="D22" s="33"/>
      <c r="E22" s="33"/>
      <c r="F22" s="33"/>
      <c r="G22" s="23" t="str">
        <f t="shared" si="0"/>
        <v/>
      </c>
      <c r="H22" s="15" t="str">
        <f t="shared" si="1"/>
        <v/>
      </c>
      <c r="I22" s="33"/>
      <c r="J22" s="16" t="str">
        <f t="shared" si="2"/>
        <v/>
      </c>
      <c r="K22" s="15" t="str">
        <f t="shared" si="3"/>
        <v/>
      </c>
      <c r="L22" s="20" t="str" cm="1">
        <f t="array" ref="L22">IFERROR(OrdinalNumber(_xlfn.RANK.EQ(K22, $K$5:$K$103)), "")</f>
        <v/>
      </c>
    </row>
    <row r="23" spans="1:12" x14ac:dyDescent="0.25">
      <c r="A23" s="12" t="str">
        <v>19</v>
      </c>
      <c r="B23" s="5" t="str">
        <v/>
      </c>
      <c r="C23" s="33"/>
      <c r="D23" s="33"/>
      <c r="E23" s="33"/>
      <c r="F23" s="33"/>
      <c r="G23" s="23" t="str">
        <f t="shared" si="0"/>
        <v/>
      </c>
      <c r="H23" s="15" t="str">
        <f t="shared" si="1"/>
        <v/>
      </c>
      <c r="I23" s="33"/>
      <c r="J23" s="16" t="str">
        <f t="shared" si="2"/>
        <v/>
      </c>
      <c r="K23" s="15" t="str">
        <f t="shared" si="3"/>
        <v/>
      </c>
      <c r="L23" s="20" t="str" cm="1">
        <f t="array" ref="L23">IFERROR(OrdinalNumber(_xlfn.RANK.EQ(K23, $K$5:$K$103)), "")</f>
        <v/>
      </c>
    </row>
    <row r="24" spans="1:12" x14ac:dyDescent="0.25">
      <c r="A24" s="12" t="str">
        <v>20</v>
      </c>
      <c r="B24" s="5" t="str">
        <v/>
      </c>
      <c r="C24" s="33"/>
      <c r="D24" s="33"/>
      <c r="E24" s="33"/>
      <c r="F24" s="33"/>
      <c r="G24" s="23" t="str">
        <f t="shared" si="0"/>
        <v/>
      </c>
      <c r="H24" s="15" t="str">
        <f t="shared" si="1"/>
        <v/>
      </c>
      <c r="I24" s="33"/>
      <c r="J24" s="16" t="str">
        <f t="shared" si="2"/>
        <v/>
      </c>
      <c r="K24" s="15" t="str">
        <f t="shared" si="3"/>
        <v/>
      </c>
      <c r="L24" s="20" t="str" cm="1">
        <f t="array" ref="L24">IFERROR(OrdinalNumber(_xlfn.RANK.EQ(K24, $K$5:$K$103)), "")</f>
        <v/>
      </c>
    </row>
    <row r="25" spans="1:12" x14ac:dyDescent="0.25">
      <c r="A25" s="12" t="str">
        <v>21</v>
      </c>
      <c r="B25" s="5" t="str">
        <v/>
      </c>
      <c r="C25" s="33"/>
      <c r="D25" s="33"/>
      <c r="E25" s="33"/>
      <c r="F25" s="33"/>
      <c r="G25" s="23" t="str">
        <f t="shared" si="0"/>
        <v/>
      </c>
      <c r="H25" s="15" t="str">
        <f t="shared" si="1"/>
        <v/>
      </c>
      <c r="I25" s="33"/>
      <c r="J25" s="16" t="str">
        <f t="shared" si="2"/>
        <v/>
      </c>
      <c r="K25" s="15" t="str">
        <f t="shared" si="3"/>
        <v/>
      </c>
      <c r="L25" s="20" t="str" cm="1">
        <f t="array" ref="L25">IFERROR(OrdinalNumber(_xlfn.RANK.EQ(K25, $K$5:$K$103)), "")</f>
        <v/>
      </c>
    </row>
    <row r="26" spans="1:12" x14ac:dyDescent="0.25">
      <c r="A26" s="12" t="str">
        <v>22</v>
      </c>
      <c r="B26" s="5" t="str">
        <v/>
      </c>
      <c r="C26" s="33"/>
      <c r="D26" s="33"/>
      <c r="E26" s="33"/>
      <c r="F26" s="33"/>
      <c r="G26" s="23" t="str">
        <f t="shared" si="0"/>
        <v/>
      </c>
      <c r="H26" s="15" t="str">
        <f t="shared" si="1"/>
        <v/>
      </c>
      <c r="I26" s="33"/>
      <c r="J26" s="16" t="str">
        <f t="shared" si="2"/>
        <v/>
      </c>
      <c r="K26" s="15" t="str">
        <f t="shared" si="3"/>
        <v/>
      </c>
      <c r="L26" s="20" t="str" cm="1">
        <f t="array" ref="L26">IFERROR(OrdinalNumber(_xlfn.RANK.EQ(K26, $K$5:$K$103)), "")</f>
        <v/>
      </c>
    </row>
    <row r="27" spans="1:12" x14ac:dyDescent="0.25">
      <c r="A27" s="12" t="str">
        <v>23</v>
      </c>
      <c r="B27" s="5" t="str">
        <v/>
      </c>
      <c r="C27" s="33"/>
      <c r="D27" s="33"/>
      <c r="E27" s="33"/>
      <c r="F27" s="33"/>
      <c r="G27" s="23" t="str">
        <f t="shared" si="0"/>
        <v/>
      </c>
      <c r="H27" s="15" t="str">
        <f t="shared" si="1"/>
        <v/>
      </c>
      <c r="I27" s="33"/>
      <c r="J27" s="16" t="str">
        <f t="shared" si="2"/>
        <v/>
      </c>
      <c r="K27" s="15" t="str">
        <f t="shared" si="3"/>
        <v/>
      </c>
      <c r="L27" s="20" t="str" cm="1">
        <f t="array" ref="L27">IFERROR(OrdinalNumber(_xlfn.RANK.EQ(K27, $K$5:$K$103)), "")</f>
        <v/>
      </c>
    </row>
    <row r="28" spans="1:12" x14ac:dyDescent="0.25">
      <c r="A28" s="12" t="str">
        <v>24</v>
      </c>
      <c r="B28" s="5" t="str">
        <v/>
      </c>
      <c r="C28" s="33"/>
      <c r="D28" s="33"/>
      <c r="E28" s="33"/>
      <c r="F28" s="33"/>
      <c r="G28" s="23" t="str">
        <f t="shared" si="0"/>
        <v/>
      </c>
      <c r="H28" s="15" t="str">
        <f t="shared" si="1"/>
        <v/>
      </c>
      <c r="I28" s="33"/>
      <c r="J28" s="16" t="str">
        <f t="shared" si="2"/>
        <v/>
      </c>
      <c r="K28" s="15" t="str">
        <f t="shared" si="3"/>
        <v/>
      </c>
      <c r="L28" s="20" t="str" cm="1">
        <f t="array" ref="L28">IFERROR(OrdinalNumber(_xlfn.RANK.EQ(K28, $K$5:$K$103)), "")</f>
        <v/>
      </c>
    </row>
    <row r="29" spans="1:12" x14ac:dyDescent="0.25">
      <c r="A29" s="12" t="str">
        <v>25</v>
      </c>
      <c r="B29" s="5" t="str">
        <v/>
      </c>
      <c r="C29" s="33"/>
      <c r="D29" s="33"/>
      <c r="E29" s="33"/>
      <c r="F29" s="33"/>
      <c r="G29" s="23" t="str">
        <f t="shared" si="0"/>
        <v/>
      </c>
      <c r="H29" s="15" t="str">
        <f t="shared" si="1"/>
        <v/>
      </c>
      <c r="I29" s="33"/>
      <c r="J29" s="16" t="str">
        <f t="shared" si="2"/>
        <v/>
      </c>
      <c r="K29" s="15" t="str">
        <f t="shared" si="3"/>
        <v/>
      </c>
      <c r="L29" s="20" t="str" cm="1">
        <f t="array" ref="L29">IFERROR(OrdinalNumber(_xlfn.RANK.EQ(K29, $K$5:$K$103)), "")</f>
        <v/>
      </c>
    </row>
    <row r="30" spans="1:12" x14ac:dyDescent="0.25">
      <c r="A30" s="12" t="str">
        <v>26</v>
      </c>
      <c r="B30" s="5" t="str">
        <v/>
      </c>
      <c r="C30" s="33"/>
      <c r="D30" s="33"/>
      <c r="E30" s="33"/>
      <c r="F30" s="33"/>
      <c r="G30" s="23" t="str">
        <f t="shared" si="0"/>
        <v/>
      </c>
      <c r="H30" s="15" t="str">
        <f t="shared" si="1"/>
        <v/>
      </c>
      <c r="I30" s="33"/>
      <c r="J30" s="16" t="str">
        <f t="shared" si="2"/>
        <v/>
      </c>
      <c r="K30" s="15" t="str">
        <f t="shared" si="3"/>
        <v/>
      </c>
      <c r="L30" s="20" t="str" cm="1">
        <f t="array" ref="L30">IFERROR(OrdinalNumber(_xlfn.RANK.EQ(K30, $K$5:$K$103)), "")</f>
        <v/>
      </c>
    </row>
    <row r="31" spans="1:12" x14ac:dyDescent="0.25">
      <c r="A31" s="12" t="str">
        <v>27</v>
      </c>
      <c r="B31" s="5" t="str">
        <v/>
      </c>
      <c r="C31" s="33"/>
      <c r="D31" s="33"/>
      <c r="E31" s="33"/>
      <c r="F31" s="33"/>
      <c r="G31" s="23" t="str">
        <f t="shared" si="0"/>
        <v/>
      </c>
      <c r="H31" s="15" t="str">
        <f t="shared" si="1"/>
        <v/>
      </c>
      <c r="I31" s="33"/>
      <c r="J31" s="16" t="str">
        <f t="shared" si="2"/>
        <v/>
      </c>
      <c r="K31" s="15" t="str">
        <f t="shared" si="3"/>
        <v/>
      </c>
      <c r="L31" s="20" t="str" cm="1">
        <f t="array" ref="L31">IFERROR(OrdinalNumber(_xlfn.RANK.EQ(K31, $K$5:$K$103)), "")</f>
        <v/>
      </c>
    </row>
    <row r="32" spans="1:12" x14ac:dyDescent="0.25">
      <c r="A32" s="12" t="str">
        <v>28</v>
      </c>
      <c r="B32" s="5" t="str">
        <v/>
      </c>
      <c r="C32" s="33"/>
      <c r="D32" s="33"/>
      <c r="E32" s="33"/>
      <c r="F32" s="33"/>
      <c r="G32" s="23" t="str">
        <f t="shared" si="0"/>
        <v/>
      </c>
      <c r="H32" s="15" t="str">
        <f t="shared" si="1"/>
        <v/>
      </c>
      <c r="I32" s="33"/>
      <c r="J32" s="16" t="str">
        <f t="shared" si="2"/>
        <v/>
      </c>
      <c r="K32" s="15" t="str">
        <f t="shared" si="3"/>
        <v/>
      </c>
      <c r="L32" s="20" t="str" cm="1">
        <f t="array" ref="L32">IFERROR(OrdinalNumber(_xlfn.RANK.EQ(K32, $K$5:$K$103)), "")</f>
        <v/>
      </c>
    </row>
    <row r="33" spans="1:12" x14ac:dyDescent="0.25">
      <c r="A33" s="12" t="str">
        <v>29</v>
      </c>
      <c r="B33" s="5" t="str">
        <v/>
      </c>
      <c r="C33" s="33"/>
      <c r="D33" s="33"/>
      <c r="E33" s="33"/>
      <c r="F33" s="33"/>
      <c r="G33" s="23" t="str">
        <f t="shared" si="0"/>
        <v/>
      </c>
      <c r="H33" s="15" t="str">
        <f t="shared" si="1"/>
        <v/>
      </c>
      <c r="I33" s="33"/>
      <c r="J33" s="16" t="str">
        <f t="shared" si="2"/>
        <v/>
      </c>
      <c r="K33" s="15" t="str">
        <f t="shared" si="3"/>
        <v/>
      </c>
      <c r="L33" s="20" t="str" cm="1">
        <f t="array" ref="L33">IFERROR(OrdinalNumber(_xlfn.RANK.EQ(K33, $K$5:$K$103)), "")</f>
        <v/>
      </c>
    </row>
    <row r="34" spans="1:12" x14ac:dyDescent="0.25">
      <c r="A34" s="12" t="str">
        <v>30</v>
      </c>
      <c r="B34" s="5" t="str">
        <v/>
      </c>
      <c r="C34" s="33"/>
      <c r="D34" s="33"/>
      <c r="E34" s="33"/>
      <c r="F34" s="33"/>
      <c r="G34" s="23" t="str">
        <f t="shared" si="0"/>
        <v/>
      </c>
      <c r="H34" s="15" t="str">
        <f t="shared" si="1"/>
        <v/>
      </c>
      <c r="I34" s="33"/>
      <c r="J34" s="16" t="str">
        <f t="shared" si="2"/>
        <v/>
      </c>
      <c r="K34" s="15" t="str">
        <f t="shared" si="3"/>
        <v/>
      </c>
      <c r="L34" s="20" t="str" cm="1">
        <f t="array" ref="L34">IFERROR(OrdinalNumber(_xlfn.RANK.EQ(K34, $K$5:$K$103)), "")</f>
        <v/>
      </c>
    </row>
    <row r="35" spans="1:12" x14ac:dyDescent="0.25">
      <c r="A35" s="12" t="str">
        <v>31</v>
      </c>
      <c r="B35" s="5" t="str">
        <v/>
      </c>
      <c r="C35" s="33"/>
      <c r="D35" s="33"/>
      <c r="E35" s="33"/>
      <c r="F35" s="33"/>
      <c r="G35" s="23" t="str">
        <f t="shared" si="0"/>
        <v/>
      </c>
      <c r="H35" s="15" t="str">
        <f t="shared" si="1"/>
        <v/>
      </c>
      <c r="I35" s="33"/>
      <c r="J35" s="16" t="str">
        <f t="shared" si="2"/>
        <v/>
      </c>
      <c r="K35" s="15" t="str">
        <f t="shared" si="3"/>
        <v/>
      </c>
      <c r="L35" s="20" t="str" cm="1">
        <f t="array" ref="L35">IFERROR(OrdinalNumber(_xlfn.RANK.EQ(K35, $K$5:$K$103)), "")</f>
        <v/>
      </c>
    </row>
    <row r="36" spans="1:12" x14ac:dyDescent="0.25">
      <c r="A36" s="12" t="str">
        <v>32</v>
      </c>
      <c r="B36" s="5" t="str">
        <v/>
      </c>
      <c r="C36" s="33"/>
      <c r="D36" s="33"/>
      <c r="E36" s="33"/>
      <c r="F36" s="33"/>
      <c r="G36" s="23" t="str">
        <f t="shared" si="0"/>
        <v/>
      </c>
      <c r="H36" s="15" t="str">
        <f t="shared" si="1"/>
        <v/>
      </c>
      <c r="I36" s="33"/>
      <c r="J36" s="16" t="str">
        <f t="shared" si="2"/>
        <v/>
      </c>
      <c r="K36" s="15" t="str">
        <f t="shared" si="3"/>
        <v/>
      </c>
      <c r="L36" s="20" t="str" cm="1">
        <f t="array" ref="L36">IFERROR(OrdinalNumber(_xlfn.RANK.EQ(K36, $K$5:$K$103)), "")</f>
        <v/>
      </c>
    </row>
    <row r="37" spans="1:12" x14ac:dyDescent="0.25">
      <c r="A37" s="12" t="str">
        <v>33</v>
      </c>
      <c r="B37" s="5" t="str">
        <v/>
      </c>
      <c r="C37" s="33"/>
      <c r="D37" s="33"/>
      <c r="E37" s="33"/>
      <c r="F37" s="33"/>
      <c r="G37" s="23" t="str">
        <f t="shared" si="0"/>
        <v/>
      </c>
      <c r="H37" s="15" t="str">
        <f t="shared" si="1"/>
        <v/>
      </c>
      <c r="I37" s="33"/>
      <c r="J37" s="16" t="str">
        <f t="shared" si="2"/>
        <v/>
      </c>
      <c r="K37" s="15" t="str">
        <f t="shared" si="3"/>
        <v/>
      </c>
      <c r="L37" s="20" t="str" cm="1">
        <f t="array" ref="L37">IFERROR(OrdinalNumber(_xlfn.RANK.EQ(K37, $K$5:$K$103)), "")</f>
        <v/>
      </c>
    </row>
    <row r="38" spans="1:12" x14ac:dyDescent="0.25">
      <c r="A38" s="12" t="str">
        <v>34</v>
      </c>
      <c r="B38" s="5" t="str">
        <v/>
      </c>
      <c r="C38" s="33"/>
      <c r="D38" s="33"/>
      <c r="E38" s="33"/>
      <c r="F38" s="33"/>
      <c r="G38" s="23" t="str">
        <f t="shared" si="0"/>
        <v/>
      </c>
      <c r="H38" s="15" t="str">
        <f t="shared" si="1"/>
        <v/>
      </c>
      <c r="I38" s="33"/>
      <c r="J38" s="16" t="str">
        <f t="shared" si="2"/>
        <v/>
      </c>
      <c r="K38" s="15" t="str">
        <f t="shared" si="3"/>
        <v/>
      </c>
      <c r="L38" s="20" t="str" cm="1">
        <f t="array" ref="L38">IFERROR(OrdinalNumber(_xlfn.RANK.EQ(K38, $K$5:$K$103)), "")</f>
        <v/>
      </c>
    </row>
    <row r="39" spans="1:12" x14ac:dyDescent="0.25">
      <c r="A39" s="12" t="str">
        <v>35</v>
      </c>
      <c r="B39" s="5" t="str">
        <v/>
      </c>
      <c r="C39" s="33"/>
      <c r="D39" s="33"/>
      <c r="E39" s="33"/>
      <c r="F39" s="33"/>
      <c r="G39" s="23" t="str">
        <f t="shared" si="0"/>
        <v/>
      </c>
      <c r="H39" s="15" t="str">
        <f t="shared" si="1"/>
        <v/>
      </c>
      <c r="I39" s="33"/>
      <c r="J39" s="16" t="str">
        <f t="shared" si="2"/>
        <v/>
      </c>
      <c r="K39" s="15" t="str">
        <f t="shared" si="3"/>
        <v/>
      </c>
      <c r="L39" s="20" t="str" cm="1">
        <f t="array" ref="L39">IFERROR(OrdinalNumber(_xlfn.RANK.EQ(K39, $K$5:$K$103)), "")</f>
        <v/>
      </c>
    </row>
    <row r="40" spans="1:12" x14ac:dyDescent="0.25">
      <c r="A40" s="12" t="str">
        <v>36</v>
      </c>
      <c r="B40" s="5" t="str">
        <v/>
      </c>
      <c r="C40" s="33"/>
      <c r="D40" s="33"/>
      <c r="E40" s="33"/>
      <c r="F40" s="33"/>
      <c r="G40" s="23" t="str">
        <f t="shared" si="0"/>
        <v/>
      </c>
      <c r="H40" s="15" t="str">
        <f t="shared" si="1"/>
        <v/>
      </c>
      <c r="I40" s="33"/>
      <c r="J40" s="16" t="str">
        <f t="shared" si="2"/>
        <v/>
      </c>
      <c r="K40" s="15" t="str">
        <f t="shared" si="3"/>
        <v/>
      </c>
      <c r="L40" s="20" t="str" cm="1">
        <f t="array" ref="L40">IFERROR(OrdinalNumber(_xlfn.RANK.EQ(K40, $K$5:$K$103)), "")</f>
        <v/>
      </c>
    </row>
    <row r="41" spans="1:12" x14ac:dyDescent="0.25">
      <c r="A41" s="12" t="str">
        <v>37</v>
      </c>
      <c r="B41" s="5" t="str">
        <v/>
      </c>
      <c r="C41" s="33"/>
      <c r="D41" s="33"/>
      <c r="E41" s="33"/>
      <c r="F41" s="33"/>
      <c r="G41" s="23" t="str">
        <f t="shared" si="0"/>
        <v/>
      </c>
      <c r="H41" s="15" t="str">
        <f t="shared" si="1"/>
        <v/>
      </c>
      <c r="I41" s="33"/>
      <c r="J41" s="16" t="str">
        <f t="shared" si="2"/>
        <v/>
      </c>
      <c r="K41" s="15" t="str">
        <f t="shared" si="3"/>
        <v/>
      </c>
      <c r="L41" s="20" t="str" cm="1">
        <f t="array" ref="L41">IFERROR(OrdinalNumber(_xlfn.RANK.EQ(K41, $K$5:$K$103)), "")</f>
        <v/>
      </c>
    </row>
    <row r="42" spans="1:12" x14ac:dyDescent="0.25">
      <c r="A42" s="12" t="str">
        <v>38</v>
      </c>
      <c r="B42" s="5" t="str">
        <v/>
      </c>
      <c r="C42" s="33"/>
      <c r="D42" s="33"/>
      <c r="E42" s="33"/>
      <c r="F42" s="33"/>
      <c r="G42" s="23" t="str">
        <f t="shared" si="0"/>
        <v/>
      </c>
      <c r="H42" s="15" t="str">
        <f t="shared" si="1"/>
        <v/>
      </c>
      <c r="I42" s="33"/>
      <c r="J42" s="16" t="str">
        <f t="shared" si="2"/>
        <v/>
      </c>
      <c r="K42" s="15" t="str">
        <f t="shared" si="3"/>
        <v/>
      </c>
      <c r="L42" s="20" t="str" cm="1">
        <f t="array" ref="L42">IFERROR(OrdinalNumber(_xlfn.RANK.EQ(K42, $K$5:$K$103)), "")</f>
        <v/>
      </c>
    </row>
    <row r="43" spans="1:12" x14ac:dyDescent="0.25">
      <c r="A43" s="12" t="str">
        <v>39</v>
      </c>
      <c r="B43" s="5" t="str">
        <v/>
      </c>
      <c r="C43" s="33"/>
      <c r="D43" s="33"/>
      <c r="E43" s="33"/>
      <c r="F43" s="33"/>
      <c r="G43" s="23" t="str">
        <f t="shared" si="0"/>
        <v/>
      </c>
      <c r="H43" s="15" t="str">
        <f t="shared" si="1"/>
        <v/>
      </c>
      <c r="I43" s="33"/>
      <c r="J43" s="16" t="str">
        <f t="shared" si="2"/>
        <v/>
      </c>
      <c r="K43" s="15" t="str">
        <f t="shared" si="3"/>
        <v/>
      </c>
      <c r="L43" s="20" t="str" cm="1">
        <f t="array" ref="L43">IFERROR(OrdinalNumber(_xlfn.RANK.EQ(K43, $K$5:$K$103)), "")</f>
        <v/>
      </c>
    </row>
    <row r="44" spans="1:12" x14ac:dyDescent="0.25">
      <c r="A44" s="12" t="str">
        <v>40</v>
      </c>
      <c r="B44" s="5" t="str">
        <v/>
      </c>
      <c r="C44" s="33"/>
      <c r="D44" s="33"/>
      <c r="E44" s="33"/>
      <c r="F44" s="33"/>
      <c r="G44" s="23" t="str">
        <f t="shared" si="0"/>
        <v/>
      </c>
      <c r="H44" s="15" t="str">
        <f t="shared" si="1"/>
        <v/>
      </c>
      <c r="I44" s="33"/>
      <c r="J44" s="16" t="str">
        <f t="shared" si="2"/>
        <v/>
      </c>
      <c r="K44" s="15" t="str">
        <f t="shared" si="3"/>
        <v/>
      </c>
      <c r="L44" s="20" t="str" cm="1">
        <f t="array" ref="L44">IFERROR(OrdinalNumber(_xlfn.RANK.EQ(K44, $K$5:$K$103)), "")</f>
        <v/>
      </c>
    </row>
    <row r="45" spans="1:12" x14ac:dyDescent="0.25">
      <c r="A45" s="12" t="str">
        <v>41</v>
      </c>
      <c r="B45" s="5" t="str">
        <v/>
      </c>
      <c r="C45" s="33"/>
      <c r="D45" s="33"/>
      <c r="E45" s="33"/>
      <c r="F45" s="33"/>
      <c r="G45" s="23" t="str">
        <f t="shared" si="0"/>
        <v/>
      </c>
      <c r="H45" s="15" t="str">
        <f t="shared" si="1"/>
        <v/>
      </c>
      <c r="I45" s="33"/>
      <c r="J45" s="16" t="str">
        <f t="shared" si="2"/>
        <v/>
      </c>
      <c r="K45" s="15" t="str">
        <f t="shared" si="3"/>
        <v/>
      </c>
      <c r="L45" s="20" t="str" cm="1">
        <f t="array" ref="L45">IFERROR(OrdinalNumber(_xlfn.RANK.EQ(K45, $K$5:$K$103)), "")</f>
        <v/>
      </c>
    </row>
    <row r="46" spans="1:12" x14ac:dyDescent="0.25">
      <c r="A46" s="12" t="str">
        <v>42</v>
      </c>
      <c r="B46" s="5" t="str">
        <v/>
      </c>
      <c r="C46" s="33"/>
      <c r="D46" s="33"/>
      <c r="E46" s="33"/>
      <c r="F46" s="33"/>
      <c r="G46" s="23" t="str">
        <f t="shared" si="0"/>
        <v/>
      </c>
      <c r="H46" s="15" t="str">
        <f t="shared" si="1"/>
        <v/>
      </c>
      <c r="I46" s="33"/>
      <c r="J46" s="16" t="str">
        <f t="shared" si="2"/>
        <v/>
      </c>
      <c r="K46" s="15" t="str">
        <f t="shared" si="3"/>
        <v/>
      </c>
      <c r="L46" s="20" t="str" cm="1">
        <f t="array" ref="L46">IFERROR(OrdinalNumber(_xlfn.RANK.EQ(K46, $K$5:$K$103)), "")</f>
        <v/>
      </c>
    </row>
    <row r="47" spans="1:12" x14ac:dyDescent="0.25">
      <c r="A47" s="12" t="str">
        <v>43</v>
      </c>
      <c r="B47" s="5" t="str">
        <v/>
      </c>
      <c r="C47" s="33"/>
      <c r="D47" s="33"/>
      <c r="E47" s="33"/>
      <c r="F47" s="33"/>
      <c r="G47" s="23" t="str">
        <f t="shared" si="0"/>
        <v/>
      </c>
      <c r="H47" s="15" t="str">
        <f t="shared" si="1"/>
        <v/>
      </c>
      <c r="I47" s="33"/>
      <c r="J47" s="16" t="str">
        <f t="shared" si="2"/>
        <v/>
      </c>
      <c r="K47" s="15" t="str">
        <f t="shared" si="3"/>
        <v/>
      </c>
      <c r="L47" s="20" t="str" cm="1">
        <f t="array" ref="L47">IFERROR(OrdinalNumber(_xlfn.RANK.EQ(K47, $K$5:$K$103)), "")</f>
        <v/>
      </c>
    </row>
    <row r="48" spans="1:12" x14ac:dyDescent="0.25">
      <c r="A48" s="12" t="str">
        <v>44</v>
      </c>
      <c r="B48" s="5" t="str">
        <v/>
      </c>
      <c r="C48" s="33"/>
      <c r="D48" s="33"/>
      <c r="E48" s="33"/>
      <c r="F48" s="33"/>
      <c r="G48" s="23" t="str">
        <f t="shared" si="0"/>
        <v/>
      </c>
      <c r="H48" s="15" t="str">
        <f t="shared" si="1"/>
        <v/>
      </c>
      <c r="I48" s="33"/>
      <c r="J48" s="16" t="str">
        <f t="shared" si="2"/>
        <v/>
      </c>
      <c r="K48" s="15" t="str">
        <f t="shared" si="3"/>
        <v/>
      </c>
      <c r="L48" s="20" t="str" cm="1">
        <f t="array" ref="L48">IFERROR(OrdinalNumber(_xlfn.RANK.EQ(K48, $K$5:$K$103)), "")</f>
        <v/>
      </c>
    </row>
    <row r="49" spans="1:12" x14ac:dyDescent="0.25">
      <c r="A49" s="12" t="str">
        <v>45</v>
      </c>
      <c r="B49" s="5" t="str">
        <v/>
      </c>
      <c r="C49" s="33"/>
      <c r="D49" s="33"/>
      <c r="E49" s="33"/>
      <c r="F49" s="33"/>
      <c r="G49" s="23" t="str">
        <f t="shared" si="0"/>
        <v/>
      </c>
      <c r="H49" s="15" t="str">
        <f t="shared" si="1"/>
        <v/>
      </c>
      <c r="I49" s="33"/>
      <c r="J49" s="16" t="str">
        <f t="shared" si="2"/>
        <v/>
      </c>
      <c r="K49" s="15" t="str">
        <f t="shared" si="3"/>
        <v/>
      </c>
      <c r="L49" s="20" t="str" cm="1">
        <f t="array" ref="L49">IFERROR(OrdinalNumber(_xlfn.RANK.EQ(K49, $K$5:$K$103)), "")</f>
        <v/>
      </c>
    </row>
    <row r="50" spans="1:12" x14ac:dyDescent="0.25">
      <c r="A50" s="12" t="str">
        <v>46</v>
      </c>
      <c r="B50" s="5" t="str">
        <v/>
      </c>
      <c r="C50" s="33"/>
      <c r="D50" s="33"/>
      <c r="E50" s="33"/>
      <c r="F50" s="33"/>
      <c r="G50" s="23" t="str">
        <f t="shared" si="0"/>
        <v/>
      </c>
      <c r="H50" s="15" t="str">
        <f t="shared" si="1"/>
        <v/>
      </c>
      <c r="I50" s="33"/>
      <c r="J50" s="16" t="str">
        <f t="shared" si="2"/>
        <v/>
      </c>
      <c r="K50" s="15" t="str">
        <f t="shared" si="3"/>
        <v/>
      </c>
      <c r="L50" s="20" t="str" cm="1">
        <f t="array" ref="L50">IFERROR(OrdinalNumber(_xlfn.RANK.EQ(K50, $K$5:$K$103)), "")</f>
        <v/>
      </c>
    </row>
    <row r="51" spans="1:12" x14ac:dyDescent="0.25">
      <c r="A51" s="12" t="str">
        <v>47</v>
      </c>
      <c r="B51" s="5" t="str">
        <v/>
      </c>
      <c r="C51" s="33"/>
      <c r="D51" s="33"/>
      <c r="E51" s="33"/>
      <c r="F51" s="33"/>
      <c r="G51" s="23" t="str">
        <f t="shared" si="0"/>
        <v/>
      </c>
      <c r="H51" s="15" t="str">
        <f t="shared" si="1"/>
        <v/>
      </c>
      <c r="I51" s="33"/>
      <c r="J51" s="16" t="str">
        <f t="shared" si="2"/>
        <v/>
      </c>
      <c r="K51" s="15" t="str">
        <f t="shared" si="3"/>
        <v/>
      </c>
      <c r="L51" s="20" t="str" cm="1">
        <f t="array" ref="L51">IFERROR(OrdinalNumber(_xlfn.RANK.EQ(K51, $K$5:$K$103)), "")</f>
        <v/>
      </c>
    </row>
    <row r="52" spans="1:12" x14ac:dyDescent="0.25">
      <c r="A52" s="12" t="str">
        <v>48</v>
      </c>
      <c r="B52" s="5" t="str">
        <v/>
      </c>
      <c r="C52" s="33"/>
      <c r="D52" s="33"/>
      <c r="E52" s="33"/>
      <c r="F52" s="33"/>
      <c r="G52" s="23" t="str">
        <f t="shared" si="0"/>
        <v/>
      </c>
      <c r="H52" s="15" t="str">
        <f t="shared" si="1"/>
        <v/>
      </c>
      <c r="I52" s="33"/>
      <c r="J52" s="16" t="str">
        <f t="shared" si="2"/>
        <v/>
      </c>
      <c r="K52" s="15" t="str">
        <f t="shared" si="3"/>
        <v/>
      </c>
      <c r="L52" s="20" t="str" cm="1">
        <f t="array" ref="L52">IFERROR(OrdinalNumber(_xlfn.RANK.EQ(K52, $K$5:$K$103)), "")</f>
        <v/>
      </c>
    </row>
    <row r="53" spans="1:12" x14ac:dyDescent="0.25">
      <c r="A53" s="12" t="str">
        <v>49</v>
      </c>
      <c r="B53" s="5" t="str">
        <v/>
      </c>
      <c r="C53" s="33"/>
      <c r="D53" s="33"/>
      <c r="E53" s="33"/>
      <c r="F53" s="33"/>
      <c r="G53" s="23" t="str">
        <f t="shared" si="0"/>
        <v/>
      </c>
      <c r="H53" s="15" t="str">
        <f t="shared" si="1"/>
        <v/>
      </c>
      <c r="I53" s="33"/>
      <c r="J53" s="16" t="str">
        <f t="shared" si="2"/>
        <v/>
      </c>
      <c r="K53" s="15" t="str">
        <f t="shared" si="3"/>
        <v/>
      </c>
      <c r="L53" s="20" t="str" cm="1">
        <f t="array" ref="L53">IFERROR(OrdinalNumber(_xlfn.RANK.EQ(K53, $K$5:$K$103)), "")</f>
        <v/>
      </c>
    </row>
    <row r="54" spans="1:12" x14ac:dyDescent="0.25">
      <c r="A54" s="12" t="str">
        <v>50</v>
      </c>
      <c r="B54" s="5" t="str">
        <v/>
      </c>
      <c r="C54" s="33"/>
      <c r="D54" s="33"/>
      <c r="E54" s="33"/>
      <c r="F54" s="33"/>
      <c r="G54" s="23" t="str">
        <f t="shared" si="0"/>
        <v/>
      </c>
      <c r="H54" s="15" t="str">
        <f t="shared" si="1"/>
        <v/>
      </c>
      <c r="I54" s="33"/>
      <c r="J54" s="16" t="str">
        <f t="shared" si="2"/>
        <v/>
      </c>
      <c r="K54" s="15" t="str">
        <f t="shared" si="3"/>
        <v/>
      </c>
      <c r="L54" s="20" t="str" cm="1">
        <f t="array" ref="L54">IFERROR(OrdinalNumber(_xlfn.RANK.EQ(K54, $K$5:$K$103)), "")</f>
        <v/>
      </c>
    </row>
    <row r="55" spans="1:12" x14ac:dyDescent="0.25">
      <c r="A55" s="12" t="str">
        <v>51</v>
      </c>
      <c r="B55" s="5" t="str">
        <v/>
      </c>
      <c r="C55" s="33"/>
      <c r="D55" s="33"/>
      <c r="E55" s="33"/>
      <c r="F55" s="33"/>
      <c r="G55" s="23" t="str">
        <f t="shared" si="0"/>
        <v/>
      </c>
      <c r="H55" s="15" t="str">
        <f t="shared" si="1"/>
        <v/>
      </c>
      <c r="I55" s="33"/>
      <c r="J55" s="16" t="str">
        <f t="shared" si="2"/>
        <v/>
      </c>
      <c r="K55" s="15" t="str">
        <f t="shared" si="3"/>
        <v/>
      </c>
      <c r="L55" s="20" t="str" cm="1">
        <f t="array" ref="L55">IFERROR(OrdinalNumber(_xlfn.RANK.EQ(K55, $K$5:$K$103)), "")</f>
        <v/>
      </c>
    </row>
    <row r="56" spans="1:12" x14ac:dyDescent="0.25">
      <c r="A56" s="12" t="str">
        <v>52</v>
      </c>
      <c r="B56" s="5" t="str">
        <v/>
      </c>
      <c r="C56" s="33"/>
      <c r="D56" s="33"/>
      <c r="E56" s="33"/>
      <c r="F56" s="33"/>
      <c r="G56" s="23" t="str">
        <f t="shared" si="0"/>
        <v/>
      </c>
      <c r="H56" s="15" t="str">
        <f t="shared" si="1"/>
        <v/>
      </c>
      <c r="I56" s="33"/>
      <c r="J56" s="16" t="str">
        <f t="shared" si="2"/>
        <v/>
      </c>
      <c r="K56" s="15" t="str">
        <f t="shared" si="3"/>
        <v/>
      </c>
      <c r="L56" s="20" t="str" cm="1">
        <f t="array" ref="L56">IFERROR(OrdinalNumber(_xlfn.RANK.EQ(K56, $K$5:$K$103)), "")</f>
        <v/>
      </c>
    </row>
    <row r="57" spans="1:12" x14ac:dyDescent="0.25">
      <c r="A57" s="12" t="str">
        <v>53</v>
      </c>
      <c r="B57" s="5" t="str">
        <v/>
      </c>
      <c r="C57" s="33"/>
      <c r="D57" s="33"/>
      <c r="E57" s="33"/>
      <c r="F57" s="33"/>
      <c r="G57" s="23" t="str">
        <f t="shared" si="0"/>
        <v/>
      </c>
      <c r="H57" s="15" t="str">
        <f t="shared" si="1"/>
        <v/>
      </c>
      <c r="I57" s="33"/>
      <c r="J57" s="16" t="str">
        <f t="shared" si="2"/>
        <v/>
      </c>
      <c r="K57" s="15" t="str">
        <f t="shared" si="3"/>
        <v/>
      </c>
      <c r="L57" s="20" t="str" cm="1">
        <f t="array" ref="L57">IFERROR(OrdinalNumber(_xlfn.RANK.EQ(K57, $K$5:$K$103)), "")</f>
        <v/>
      </c>
    </row>
    <row r="58" spans="1:12" x14ac:dyDescent="0.25">
      <c r="A58" s="12" t="str">
        <v>54</v>
      </c>
      <c r="B58" s="5" t="str">
        <v/>
      </c>
      <c r="C58" s="33"/>
      <c r="D58" s="33"/>
      <c r="E58" s="33"/>
      <c r="F58" s="33"/>
      <c r="G58" s="23" t="str">
        <f t="shared" si="0"/>
        <v/>
      </c>
      <c r="H58" s="15" t="str">
        <f t="shared" si="1"/>
        <v/>
      </c>
      <c r="I58" s="33"/>
      <c r="J58" s="16" t="str">
        <f t="shared" si="2"/>
        <v/>
      </c>
      <c r="K58" s="15" t="str">
        <f t="shared" si="3"/>
        <v/>
      </c>
      <c r="L58" s="20" t="str" cm="1">
        <f t="array" ref="L58">IFERROR(OrdinalNumber(_xlfn.RANK.EQ(K58, $K$5:$K$103)), "")</f>
        <v/>
      </c>
    </row>
    <row r="59" spans="1:12" x14ac:dyDescent="0.25">
      <c r="A59" s="12" t="str">
        <v>55</v>
      </c>
      <c r="B59" s="5" t="str">
        <v/>
      </c>
      <c r="C59" s="33"/>
      <c r="D59" s="33"/>
      <c r="E59" s="33"/>
      <c r="F59" s="33"/>
      <c r="G59" s="23" t="str">
        <f t="shared" si="0"/>
        <v/>
      </c>
      <c r="H59" s="15" t="str">
        <f t="shared" si="1"/>
        <v/>
      </c>
      <c r="I59" s="33"/>
      <c r="J59" s="16" t="str">
        <f t="shared" si="2"/>
        <v/>
      </c>
      <c r="K59" s="15" t="str">
        <f t="shared" si="3"/>
        <v/>
      </c>
      <c r="L59" s="20" t="str" cm="1">
        <f t="array" ref="L59">IFERROR(OrdinalNumber(_xlfn.RANK.EQ(K59, $K$5:$K$103)), "")</f>
        <v/>
      </c>
    </row>
    <row r="60" spans="1:12" x14ac:dyDescent="0.25">
      <c r="A60" s="12" t="str">
        <v>56</v>
      </c>
      <c r="B60" s="5" t="str">
        <v/>
      </c>
      <c r="C60" s="33"/>
      <c r="D60" s="33"/>
      <c r="E60" s="33"/>
      <c r="F60" s="33"/>
      <c r="G60" s="23" t="str">
        <f t="shared" si="0"/>
        <v/>
      </c>
      <c r="H60" s="15" t="str">
        <f t="shared" si="1"/>
        <v/>
      </c>
      <c r="I60" s="33"/>
      <c r="J60" s="16" t="str">
        <f t="shared" si="2"/>
        <v/>
      </c>
      <c r="K60" s="15" t="str">
        <f t="shared" si="3"/>
        <v/>
      </c>
      <c r="L60" s="20" t="str" cm="1">
        <f t="array" ref="L60">IFERROR(OrdinalNumber(_xlfn.RANK.EQ(K60, $K$5:$K$103)), "")</f>
        <v/>
      </c>
    </row>
    <row r="61" spans="1:12" x14ac:dyDescent="0.25">
      <c r="A61" s="12" t="str">
        <v>57</v>
      </c>
      <c r="B61" s="5" t="str">
        <v/>
      </c>
      <c r="C61" s="33"/>
      <c r="D61" s="33"/>
      <c r="E61" s="33"/>
      <c r="F61" s="33"/>
      <c r="G61" s="23" t="str">
        <f t="shared" si="0"/>
        <v/>
      </c>
      <c r="H61" s="15" t="str">
        <f t="shared" si="1"/>
        <v/>
      </c>
      <c r="I61" s="33"/>
      <c r="J61" s="16" t="str">
        <f t="shared" si="2"/>
        <v/>
      </c>
      <c r="K61" s="15" t="str">
        <f t="shared" si="3"/>
        <v/>
      </c>
      <c r="L61" s="20" t="str" cm="1">
        <f t="array" ref="L61">IFERROR(OrdinalNumber(_xlfn.RANK.EQ(K61, $K$5:$K$103)), "")</f>
        <v/>
      </c>
    </row>
    <row r="62" spans="1:12" x14ac:dyDescent="0.25">
      <c r="A62" s="12" t="str">
        <v>58</v>
      </c>
      <c r="B62" s="5" t="str">
        <v/>
      </c>
      <c r="C62" s="33"/>
      <c r="D62" s="33"/>
      <c r="E62" s="33"/>
      <c r="F62" s="33"/>
      <c r="G62" s="23" t="str">
        <f t="shared" si="0"/>
        <v/>
      </c>
      <c r="H62" s="15" t="str">
        <f t="shared" si="1"/>
        <v/>
      </c>
      <c r="I62" s="33"/>
      <c r="J62" s="16" t="str">
        <f t="shared" si="2"/>
        <v/>
      </c>
      <c r="K62" s="15" t="str">
        <f t="shared" si="3"/>
        <v/>
      </c>
      <c r="L62" s="20" t="str" cm="1">
        <f t="array" ref="L62">IFERROR(OrdinalNumber(_xlfn.RANK.EQ(K62, $K$5:$K$103)), "")</f>
        <v/>
      </c>
    </row>
    <row r="63" spans="1:12" x14ac:dyDescent="0.25">
      <c r="A63" s="12" t="str">
        <v>59</v>
      </c>
      <c r="B63" s="5" t="str">
        <v/>
      </c>
      <c r="C63" s="33"/>
      <c r="D63" s="33"/>
      <c r="E63" s="33"/>
      <c r="F63" s="33"/>
      <c r="G63" s="23" t="str">
        <f t="shared" si="0"/>
        <v/>
      </c>
      <c r="H63" s="15" t="str">
        <f t="shared" si="1"/>
        <v/>
      </c>
      <c r="I63" s="33"/>
      <c r="J63" s="16" t="str">
        <f t="shared" si="2"/>
        <v/>
      </c>
      <c r="K63" s="15" t="str">
        <f t="shared" si="3"/>
        <v/>
      </c>
      <c r="L63" s="20" t="str" cm="1">
        <f t="array" ref="L63">IFERROR(OrdinalNumber(_xlfn.RANK.EQ(K63, $K$5:$K$103)), "")</f>
        <v/>
      </c>
    </row>
    <row r="64" spans="1:12" x14ac:dyDescent="0.25">
      <c r="A64" s="12" t="str">
        <v>60</v>
      </c>
      <c r="B64" s="5" t="str">
        <v/>
      </c>
      <c r="C64" s="33"/>
      <c r="D64" s="33"/>
      <c r="E64" s="33"/>
      <c r="F64" s="33"/>
      <c r="G64" s="23" t="str">
        <f t="shared" si="0"/>
        <v/>
      </c>
      <c r="H64" s="15" t="str">
        <f t="shared" si="1"/>
        <v/>
      </c>
      <c r="I64" s="33"/>
      <c r="J64" s="16" t="str">
        <f t="shared" si="2"/>
        <v/>
      </c>
      <c r="K64" s="15" t="str">
        <f t="shared" si="3"/>
        <v/>
      </c>
      <c r="L64" s="20" t="str" cm="1">
        <f t="array" ref="L64">IFERROR(OrdinalNumber(_xlfn.RANK.EQ(K64, $K$5:$K$103)), "")</f>
        <v/>
      </c>
    </row>
    <row r="65" spans="1:12" x14ac:dyDescent="0.25">
      <c r="A65" s="12" t="str">
        <v>61</v>
      </c>
      <c r="B65" s="5" t="str">
        <v/>
      </c>
      <c r="C65" s="33"/>
      <c r="D65" s="33"/>
      <c r="E65" s="33"/>
      <c r="F65" s="33"/>
      <c r="G65" s="23" t="str">
        <f t="shared" si="0"/>
        <v/>
      </c>
      <c r="H65" s="15" t="str">
        <f t="shared" si="1"/>
        <v/>
      </c>
      <c r="I65" s="33"/>
      <c r="J65" s="16" t="str">
        <f t="shared" si="2"/>
        <v/>
      </c>
      <c r="K65" s="15" t="str">
        <f t="shared" si="3"/>
        <v/>
      </c>
      <c r="L65" s="20" t="str" cm="1">
        <f t="array" ref="L65">IFERROR(OrdinalNumber(_xlfn.RANK.EQ(K65, $K$5:$K$103)), "")</f>
        <v/>
      </c>
    </row>
    <row r="66" spans="1:12" x14ac:dyDescent="0.25">
      <c r="A66" s="12" t="str">
        <v>62</v>
      </c>
      <c r="B66" s="5" t="str">
        <v/>
      </c>
      <c r="C66" s="33"/>
      <c r="D66" s="33"/>
      <c r="E66" s="33"/>
      <c r="F66" s="33"/>
      <c r="G66" s="23" t="str">
        <f t="shared" si="0"/>
        <v/>
      </c>
      <c r="H66" s="15" t="str">
        <f t="shared" si="1"/>
        <v/>
      </c>
      <c r="I66" s="33"/>
      <c r="J66" s="16" t="str">
        <f t="shared" si="2"/>
        <v/>
      </c>
      <c r="K66" s="15" t="str">
        <f t="shared" si="3"/>
        <v/>
      </c>
      <c r="L66" s="20" t="str" cm="1">
        <f t="array" ref="L66">IFERROR(OrdinalNumber(_xlfn.RANK.EQ(K66, $K$5:$K$103)), "")</f>
        <v/>
      </c>
    </row>
    <row r="67" spans="1:12" x14ac:dyDescent="0.25">
      <c r="A67" s="12" t="str">
        <v>63</v>
      </c>
      <c r="B67" s="5" t="str">
        <v/>
      </c>
      <c r="C67" s="33"/>
      <c r="D67" s="33"/>
      <c r="E67" s="33"/>
      <c r="F67" s="33"/>
      <c r="G67" s="23" t="str">
        <f t="shared" si="0"/>
        <v/>
      </c>
      <c r="H67" s="15" t="str">
        <f t="shared" si="1"/>
        <v/>
      </c>
      <c r="I67" s="33"/>
      <c r="J67" s="16" t="str">
        <f t="shared" si="2"/>
        <v/>
      </c>
      <c r="K67" s="15" t="str">
        <f t="shared" si="3"/>
        <v/>
      </c>
      <c r="L67" s="20" t="str" cm="1">
        <f t="array" ref="L67">IFERROR(OrdinalNumber(_xlfn.RANK.EQ(K67, $K$5:$K$103)), "")</f>
        <v/>
      </c>
    </row>
    <row r="68" spans="1:12" x14ac:dyDescent="0.25">
      <c r="A68" s="12" t="str">
        <v>64</v>
      </c>
      <c r="B68" s="5" t="str">
        <v/>
      </c>
      <c r="C68" s="33"/>
      <c r="D68" s="33"/>
      <c r="E68" s="33"/>
      <c r="F68" s="33"/>
      <c r="G68" s="23" t="str">
        <f t="shared" si="0"/>
        <v/>
      </c>
      <c r="H68" s="15" t="str">
        <f t="shared" si="1"/>
        <v/>
      </c>
      <c r="I68" s="33"/>
      <c r="J68" s="16" t="str">
        <f t="shared" si="2"/>
        <v/>
      </c>
      <c r="K68" s="15" t="str">
        <f t="shared" si="3"/>
        <v/>
      </c>
      <c r="L68" s="20" t="str" cm="1">
        <f t="array" ref="L68">IFERROR(OrdinalNumber(_xlfn.RANK.EQ(K68, $K$5:$K$103)), "")</f>
        <v/>
      </c>
    </row>
    <row r="69" spans="1:12" x14ac:dyDescent="0.25">
      <c r="A69" s="12" t="str">
        <v>65</v>
      </c>
      <c r="B69" s="5" t="str">
        <v/>
      </c>
      <c r="C69" s="33"/>
      <c r="D69" s="33"/>
      <c r="E69" s="33"/>
      <c r="F69" s="33"/>
      <c r="G69" s="23" t="str">
        <f t="shared" si="0"/>
        <v/>
      </c>
      <c r="H69" s="15" t="str">
        <f t="shared" si="1"/>
        <v/>
      </c>
      <c r="I69" s="33"/>
      <c r="J69" s="16" t="str">
        <f t="shared" si="2"/>
        <v/>
      </c>
      <c r="K69" s="15" t="str">
        <f t="shared" si="3"/>
        <v/>
      </c>
      <c r="L69" s="20" t="str" cm="1">
        <f t="array" ref="L69">IFERROR(OrdinalNumber(_xlfn.RANK.EQ(K69, $K$5:$K$103)), "")</f>
        <v/>
      </c>
    </row>
    <row r="70" spans="1:12" x14ac:dyDescent="0.25">
      <c r="A70" s="12" t="str">
        <v>66</v>
      </c>
      <c r="B70" s="5" t="str">
        <v/>
      </c>
      <c r="C70" s="33"/>
      <c r="D70" s="33"/>
      <c r="E70" s="33"/>
      <c r="F70" s="33"/>
      <c r="G70" s="23" t="str">
        <f t="shared" ref="G70:G103" si="4">IF(SUM(C70:F70)=0, "", SUM(C70:F70))</f>
        <v/>
      </c>
      <c r="H70" s="15" t="str">
        <f t="shared" ref="H70:H103" si="5">IFERROR(G70*50%, "")</f>
        <v/>
      </c>
      <c r="I70" s="33"/>
      <c r="J70" s="16" t="str">
        <f t="shared" ref="J70:J103" si="6">IF(I70, I70*50%, "")</f>
        <v/>
      </c>
      <c r="K70" s="15" t="str">
        <f t="shared" ref="K70:K103" si="7">IF(SUM(H70,J70)=0, "", SUM(H70,J70))</f>
        <v/>
      </c>
      <c r="L70" s="20" t="str" cm="1">
        <f t="array" ref="L70">IFERROR(OrdinalNumber(_xlfn.RANK.EQ(K70, $K$5:$K$103)), "")</f>
        <v/>
      </c>
    </row>
    <row r="71" spans="1:12" x14ac:dyDescent="0.25">
      <c r="A71" s="12" t="str">
        <v>67</v>
      </c>
      <c r="B71" s="5" t="str">
        <v/>
      </c>
      <c r="C71" s="33"/>
      <c r="D71" s="33"/>
      <c r="E71" s="33"/>
      <c r="F71" s="33"/>
      <c r="G71" s="23" t="str">
        <f t="shared" si="4"/>
        <v/>
      </c>
      <c r="H71" s="15" t="str">
        <f t="shared" si="5"/>
        <v/>
      </c>
      <c r="I71" s="33"/>
      <c r="J71" s="16" t="str">
        <f t="shared" si="6"/>
        <v/>
      </c>
      <c r="K71" s="15" t="str">
        <f t="shared" si="7"/>
        <v/>
      </c>
      <c r="L71" s="20" t="str" cm="1">
        <f t="array" ref="L71">IFERROR(OrdinalNumber(_xlfn.RANK.EQ(K71, $K$5:$K$103)), "")</f>
        <v/>
      </c>
    </row>
    <row r="72" spans="1:12" x14ac:dyDescent="0.25">
      <c r="A72" s="12" t="str">
        <v>68</v>
      </c>
      <c r="B72" s="5" t="str">
        <v/>
      </c>
      <c r="C72" s="33"/>
      <c r="D72" s="33"/>
      <c r="E72" s="33"/>
      <c r="F72" s="33"/>
      <c r="G72" s="23" t="str">
        <f t="shared" si="4"/>
        <v/>
      </c>
      <c r="H72" s="15" t="str">
        <f t="shared" si="5"/>
        <v/>
      </c>
      <c r="I72" s="33"/>
      <c r="J72" s="16" t="str">
        <f t="shared" si="6"/>
        <v/>
      </c>
      <c r="K72" s="15" t="str">
        <f t="shared" si="7"/>
        <v/>
      </c>
      <c r="L72" s="20" t="str" cm="1">
        <f t="array" ref="L72">IFERROR(OrdinalNumber(_xlfn.RANK.EQ(K72, $K$5:$K$103)), "")</f>
        <v/>
      </c>
    </row>
    <row r="73" spans="1:12" x14ac:dyDescent="0.25">
      <c r="A73" s="12" t="str">
        <v>69</v>
      </c>
      <c r="B73" s="5" t="str">
        <v/>
      </c>
      <c r="C73" s="33"/>
      <c r="D73" s="33"/>
      <c r="E73" s="33"/>
      <c r="F73" s="33"/>
      <c r="G73" s="23" t="str">
        <f t="shared" si="4"/>
        <v/>
      </c>
      <c r="H73" s="15" t="str">
        <f t="shared" si="5"/>
        <v/>
      </c>
      <c r="I73" s="33"/>
      <c r="J73" s="16" t="str">
        <f t="shared" si="6"/>
        <v/>
      </c>
      <c r="K73" s="15" t="str">
        <f t="shared" si="7"/>
        <v/>
      </c>
      <c r="L73" s="20" t="str" cm="1">
        <f t="array" ref="L73">IFERROR(OrdinalNumber(_xlfn.RANK.EQ(K73, $K$5:$K$103)), "")</f>
        <v/>
      </c>
    </row>
    <row r="74" spans="1:12" x14ac:dyDescent="0.25">
      <c r="A74" s="12" t="str">
        <v>70</v>
      </c>
      <c r="B74" s="5" t="str">
        <v/>
      </c>
      <c r="C74" s="33"/>
      <c r="D74" s="33"/>
      <c r="E74" s="33"/>
      <c r="F74" s="33"/>
      <c r="G74" s="23" t="str">
        <f t="shared" si="4"/>
        <v/>
      </c>
      <c r="H74" s="15" t="str">
        <f t="shared" si="5"/>
        <v/>
      </c>
      <c r="I74" s="33"/>
      <c r="J74" s="16" t="str">
        <f t="shared" si="6"/>
        <v/>
      </c>
      <c r="K74" s="15" t="str">
        <f t="shared" si="7"/>
        <v/>
      </c>
      <c r="L74" s="20" t="str" cm="1">
        <f t="array" ref="L74">IFERROR(OrdinalNumber(_xlfn.RANK.EQ(K74, $K$5:$K$103)), "")</f>
        <v/>
      </c>
    </row>
    <row r="75" spans="1:12" x14ac:dyDescent="0.25">
      <c r="A75" s="12" t="str">
        <v>71</v>
      </c>
      <c r="B75" s="5" t="str">
        <v/>
      </c>
      <c r="C75" s="33"/>
      <c r="D75" s="33"/>
      <c r="E75" s="33"/>
      <c r="F75" s="33"/>
      <c r="G75" s="23" t="str">
        <f t="shared" si="4"/>
        <v/>
      </c>
      <c r="H75" s="15" t="str">
        <f t="shared" si="5"/>
        <v/>
      </c>
      <c r="I75" s="33"/>
      <c r="J75" s="16" t="str">
        <f t="shared" si="6"/>
        <v/>
      </c>
      <c r="K75" s="15" t="str">
        <f t="shared" si="7"/>
        <v/>
      </c>
      <c r="L75" s="20" t="str" cm="1">
        <f t="array" ref="L75">IFERROR(OrdinalNumber(_xlfn.RANK.EQ(K75, $K$5:$K$103)), "")</f>
        <v/>
      </c>
    </row>
    <row r="76" spans="1:12" x14ac:dyDescent="0.25">
      <c r="A76" s="12" t="str">
        <v>72</v>
      </c>
      <c r="B76" s="5" t="str">
        <v/>
      </c>
      <c r="C76" s="33"/>
      <c r="D76" s="33"/>
      <c r="E76" s="33"/>
      <c r="F76" s="33"/>
      <c r="G76" s="23" t="str">
        <f t="shared" si="4"/>
        <v/>
      </c>
      <c r="H76" s="15" t="str">
        <f t="shared" si="5"/>
        <v/>
      </c>
      <c r="I76" s="33"/>
      <c r="J76" s="16" t="str">
        <f t="shared" si="6"/>
        <v/>
      </c>
      <c r="K76" s="15" t="str">
        <f t="shared" si="7"/>
        <v/>
      </c>
      <c r="L76" s="20" t="str" cm="1">
        <f t="array" ref="L76">IFERROR(OrdinalNumber(_xlfn.RANK.EQ(K76, $K$5:$K$103)), "")</f>
        <v/>
      </c>
    </row>
    <row r="77" spans="1:12" x14ac:dyDescent="0.25">
      <c r="A77" s="12" t="str">
        <v>73</v>
      </c>
      <c r="B77" s="5" t="str">
        <v/>
      </c>
      <c r="C77" s="33"/>
      <c r="D77" s="33"/>
      <c r="E77" s="33"/>
      <c r="F77" s="33"/>
      <c r="G77" s="23" t="str">
        <f t="shared" si="4"/>
        <v/>
      </c>
      <c r="H77" s="15" t="str">
        <f t="shared" si="5"/>
        <v/>
      </c>
      <c r="I77" s="33"/>
      <c r="J77" s="16" t="str">
        <f t="shared" si="6"/>
        <v/>
      </c>
      <c r="K77" s="15" t="str">
        <f t="shared" si="7"/>
        <v/>
      </c>
      <c r="L77" s="20" t="str" cm="1">
        <f t="array" ref="L77">IFERROR(OrdinalNumber(_xlfn.RANK.EQ(K77, $K$5:$K$103)), "")</f>
        <v/>
      </c>
    </row>
    <row r="78" spans="1:12" x14ac:dyDescent="0.25">
      <c r="A78" s="12" t="str">
        <v>74</v>
      </c>
      <c r="B78" s="5" t="str">
        <v/>
      </c>
      <c r="C78" s="33"/>
      <c r="D78" s="33"/>
      <c r="E78" s="33"/>
      <c r="F78" s="33"/>
      <c r="G78" s="23" t="str">
        <f t="shared" si="4"/>
        <v/>
      </c>
      <c r="H78" s="15" t="str">
        <f t="shared" si="5"/>
        <v/>
      </c>
      <c r="I78" s="33"/>
      <c r="J78" s="16" t="str">
        <f t="shared" si="6"/>
        <v/>
      </c>
      <c r="K78" s="15" t="str">
        <f t="shared" si="7"/>
        <v/>
      </c>
      <c r="L78" s="20" t="str" cm="1">
        <f t="array" ref="L78">IFERROR(OrdinalNumber(_xlfn.RANK.EQ(K78, $K$5:$K$103)), "")</f>
        <v/>
      </c>
    </row>
    <row r="79" spans="1:12" x14ac:dyDescent="0.25">
      <c r="A79" s="12" t="str">
        <v>75</v>
      </c>
      <c r="B79" s="5" t="str">
        <v/>
      </c>
      <c r="C79" s="33"/>
      <c r="D79" s="33"/>
      <c r="E79" s="33"/>
      <c r="F79" s="33"/>
      <c r="G79" s="23" t="str">
        <f t="shared" si="4"/>
        <v/>
      </c>
      <c r="H79" s="15" t="str">
        <f t="shared" si="5"/>
        <v/>
      </c>
      <c r="I79" s="33"/>
      <c r="J79" s="16" t="str">
        <f t="shared" si="6"/>
        <v/>
      </c>
      <c r="K79" s="15" t="str">
        <f t="shared" si="7"/>
        <v/>
      </c>
      <c r="L79" s="20" t="str" cm="1">
        <f t="array" ref="L79">IFERROR(OrdinalNumber(_xlfn.RANK.EQ(K79, $K$5:$K$103)), "")</f>
        <v/>
      </c>
    </row>
    <row r="80" spans="1:12" x14ac:dyDescent="0.25">
      <c r="A80" s="12" t="str">
        <v>76</v>
      </c>
      <c r="B80" s="5" t="str">
        <v/>
      </c>
      <c r="C80" s="33"/>
      <c r="D80" s="33"/>
      <c r="E80" s="33"/>
      <c r="F80" s="33"/>
      <c r="G80" s="23" t="str">
        <f t="shared" si="4"/>
        <v/>
      </c>
      <c r="H80" s="15" t="str">
        <f t="shared" si="5"/>
        <v/>
      </c>
      <c r="I80" s="33"/>
      <c r="J80" s="16" t="str">
        <f t="shared" si="6"/>
        <v/>
      </c>
      <c r="K80" s="15" t="str">
        <f t="shared" si="7"/>
        <v/>
      </c>
      <c r="L80" s="20" t="str" cm="1">
        <f t="array" ref="L80">IFERROR(OrdinalNumber(_xlfn.RANK.EQ(K80, $K$5:$K$103)), "")</f>
        <v/>
      </c>
    </row>
    <row r="81" spans="1:12" x14ac:dyDescent="0.25">
      <c r="A81" s="12" t="str">
        <v>77</v>
      </c>
      <c r="B81" s="5" t="str">
        <v/>
      </c>
      <c r="C81" s="33"/>
      <c r="D81" s="33"/>
      <c r="E81" s="33"/>
      <c r="F81" s="33"/>
      <c r="G81" s="23" t="str">
        <f t="shared" si="4"/>
        <v/>
      </c>
      <c r="H81" s="15" t="str">
        <f t="shared" si="5"/>
        <v/>
      </c>
      <c r="I81" s="33"/>
      <c r="J81" s="16" t="str">
        <f t="shared" si="6"/>
        <v/>
      </c>
      <c r="K81" s="15" t="str">
        <f t="shared" si="7"/>
        <v/>
      </c>
      <c r="L81" s="20" t="str" cm="1">
        <f t="array" ref="L81">IFERROR(OrdinalNumber(_xlfn.RANK.EQ(K81, $K$5:$K$103)), "")</f>
        <v/>
      </c>
    </row>
    <row r="82" spans="1:12" x14ac:dyDescent="0.25">
      <c r="A82" s="12" t="str">
        <v>78</v>
      </c>
      <c r="B82" s="5" t="str">
        <v/>
      </c>
      <c r="C82" s="33"/>
      <c r="D82" s="33"/>
      <c r="E82" s="33"/>
      <c r="F82" s="33"/>
      <c r="G82" s="23" t="str">
        <f t="shared" si="4"/>
        <v/>
      </c>
      <c r="H82" s="15" t="str">
        <f t="shared" si="5"/>
        <v/>
      </c>
      <c r="I82" s="33"/>
      <c r="J82" s="16" t="str">
        <f t="shared" si="6"/>
        <v/>
      </c>
      <c r="K82" s="15" t="str">
        <f t="shared" si="7"/>
        <v/>
      </c>
      <c r="L82" s="20" t="str" cm="1">
        <f t="array" ref="L82">IFERROR(OrdinalNumber(_xlfn.RANK.EQ(K82, $K$5:$K$103)), "")</f>
        <v/>
      </c>
    </row>
    <row r="83" spans="1:12" x14ac:dyDescent="0.25">
      <c r="A83" s="12" t="str">
        <v>79</v>
      </c>
      <c r="B83" s="5" t="str">
        <v/>
      </c>
      <c r="C83" s="33"/>
      <c r="D83" s="33"/>
      <c r="E83" s="33"/>
      <c r="F83" s="33"/>
      <c r="G83" s="23" t="str">
        <f t="shared" si="4"/>
        <v/>
      </c>
      <c r="H83" s="15" t="str">
        <f t="shared" si="5"/>
        <v/>
      </c>
      <c r="I83" s="33"/>
      <c r="J83" s="16" t="str">
        <f t="shared" si="6"/>
        <v/>
      </c>
      <c r="K83" s="15" t="str">
        <f t="shared" si="7"/>
        <v/>
      </c>
      <c r="L83" s="20" t="str" cm="1">
        <f t="array" ref="L83">IFERROR(OrdinalNumber(_xlfn.RANK.EQ(K83, $K$5:$K$103)), "")</f>
        <v/>
      </c>
    </row>
    <row r="84" spans="1:12" x14ac:dyDescent="0.25">
      <c r="A84" s="12" t="str">
        <v>80</v>
      </c>
      <c r="B84" s="5" t="str">
        <v/>
      </c>
      <c r="C84" s="33"/>
      <c r="D84" s="33"/>
      <c r="E84" s="33"/>
      <c r="F84" s="33"/>
      <c r="G84" s="23" t="str">
        <f t="shared" si="4"/>
        <v/>
      </c>
      <c r="H84" s="15" t="str">
        <f t="shared" si="5"/>
        <v/>
      </c>
      <c r="I84" s="33"/>
      <c r="J84" s="16" t="str">
        <f t="shared" si="6"/>
        <v/>
      </c>
      <c r="K84" s="15" t="str">
        <f t="shared" si="7"/>
        <v/>
      </c>
      <c r="L84" s="20" t="str" cm="1">
        <f t="array" ref="L84">IFERROR(OrdinalNumber(_xlfn.RANK.EQ(K84, $K$5:$K$103)), "")</f>
        <v/>
      </c>
    </row>
    <row r="85" spans="1:12" x14ac:dyDescent="0.25">
      <c r="A85" s="12" t="str">
        <v>81</v>
      </c>
      <c r="B85" s="5" t="str">
        <v/>
      </c>
      <c r="C85" s="33"/>
      <c r="D85" s="33"/>
      <c r="E85" s="33"/>
      <c r="F85" s="33"/>
      <c r="G85" s="23" t="str">
        <f t="shared" si="4"/>
        <v/>
      </c>
      <c r="H85" s="15" t="str">
        <f t="shared" si="5"/>
        <v/>
      </c>
      <c r="I85" s="33"/>
      <c r="J85" s="16" t="str">
        <f t="shared" si="6"/>
        <v/>
      </c>
      <c r="K85" s="15" t="str">
        <f t="shared" si="7"/>
        <v/>
      </c>
      <c r="L85" s="20" t="str" cm="1">
        <f t="array" ref="L85">IFERROR(OrdinalNumber(_xlfn.RANK.EQ(K85, $K$5:$K$103)), "")</f>
        <v/>
      </c>
    </row>
    <row r="86" spans="1:12" x14ac:dyDescent="0.25">
      <c r="A86" s="12" t="str">
        <v>82</v>
      </c>
      <c r="B86" s="5" t="str">
        <v/>
      </c>
      <c r="C86" s="33"/>
      <c r="D86" s="33"/>
      <c r="E86" s="33"/>
      <c r="F86" s="33"/>
      <c r="G86" s="23" t="str">
        <f t="shared" si="4"/>
        <v/>
      </c>
      <c r="H86" s="15" t="str">
        <f t="shared" si="5"/>
        <v/>
      </c>
      <c r="I86" s="33"/>
      <c r="J86" s="16" t="str">
        <f t="shared" si="6"/>
        <v/>
      </c>
      <c r="K86" s="15" t="str">
        <f t="shared" si="7"/>
        <v/>
      </c>
      <c r="L86" s="20" t="str" cm="1">
        <f t="array" ref="L86">IFERROR(OrdinalNumber(_xlfn.RANK.EQ(K86, $K$5:$K$103)), "")</f>
        <v/>
      </c>
    </row>
    <row r="87" spans="1:12" x14ac:dyDescent="0.25">
      <c r="A87" s="12" t="str">
        <v>83</v>
      </c>
      <c r="B87" s="5" t="str">
        <v/>
      </c>
      <c r="C87" s="33"/>
      <c r="D87" s="33"/>
      <c r="E87" s="33"/>
      <c r="F87" s="33"/>
      <c r="G87" s="23" t="str">
        <f t="shared" si="4"/>
        <v/>
      </c>
      <c r="H87" s="15" t="str">
        <f t="shared" si="5"/>
        <v/>
      </c>
      <c r="I87" s="33"/>
      <c r="J87" s="16" t="str">
        <f t="shared" si="6"/>
        <v/>
      </c>
      <c r="K87" s="15" t="str">
        <f t="shared" si="7"/>
        <v/>
      </c>
      <c r="L87" s="20" t="str" cm="1">
        <f t="array" ref="L87">IFERROR(OrdinalNumber(_xlfn.RANK.EQ(K87, $K$5:$K$103)), "")</f>
        <v/>
      </c>
    </row>
    <row r="88" spans="1:12" x14ac:dyDescent="0.25">
      <c r="A88" s="12" t="str">
        <v>84</v>
      </c>
      <c r="B88" s="5" t="str">
        <v/>
      </c>
      <c r="C88" s="33"/>
      <c r="D88" s="33"/>
      <c r="E88" s="33"/>
      <c r="F88" s="33"/>
      <c r="G88" s="23" t="str">
        <f t="shared" si="4"/>
        <v/>
      </c>
      <c r="H88" s="15" t="str">
        <f t="shared" si="5"/>
        <v/>
      </c>
      <c r="I88" s="33"/>
      <c r="J88" s="16" t="str">
        <f t="shared" si="6"/>
        <v/>
      </c>
      <c r="K88" s="15" t="str">
        <f t="shared" si="7"/>
        <v/>
      </c>
      <c r="L88" s="20" t="str" cm="1">
        <f t="array" ref="L88">IFERROR(OrdinalNumber(_xlfn.RANK.EQ(K88, $K$5:$K$103)), "")</f>
        <v/>
      </c>
    </row>
    <row r="89" spans="1:12" x14ac:dyDescent="0.25">
      <c r="A89" s="12" t="str">
        <v>85</v>
      </c>
      <c r="B89" s="5" t="str">
        <v/>
      </c>
      <c r="C89" s="33"/>
      <c r="D89" s="33"/>
      <c r="E89" s="33"/>
      <c r="F89" s="33"/>
      <c r="G89" s="23" t="str">
        <f t="shared" si="4"/>
        <v/>
      </c>
      <c r="H89" s="15" t="str">
        <f t="shared" si="5"/>
        <v/>
      </c>
      <c r="I89" s="33"/>
      <c r="J89" s="16" t="str">
        <f t="shared" si="6"/>
        <v/>
      </c>
      <c r="K89" s="15" t="str">
        <f t="shared" si="7"/>
        <v/>
      </c>
      <c r="L89" s="20" t="str" cm="1">
        <f t="array" ref="L89">IFERROR(OrdinalNumber(_xlfn.RANK.EQ(K89, $K$5:$K$103)), "")</f>
        <v/>
      </c>
    </row>
    <row r="90" spans="1:12" x14ac:dyDescent="0.25">
      <c r="A90" s="12" t="str">
        <v>86</v>
      </c>
      <c r="B90" s="5" t="str">
        <v/>
      </c>
      <c r="C90" s="33"/>
      <c r="D90" s="33"/>
      <c r="E90" s="33"/>
      <c r="F90" s="33"/>
      <c r="G90" s="23" t="str">
        <f t="shared" si="4"/>
        <v/>
      </c>
      <c r="H90" s="15" t="str">
        <f t="shared" si="5"/>
        <v/>
      </c>
      <c r="I90" s="33"/>
      <c r="J90" s="16" t="str">
        <f t="shared" si="6"/>
        <v/>
      </c>
      <c r="K90" s="15" t="str">
        <f t="shared" si="7"/>
        <v/>
      </c>
      <c r="L90" s="20" t="str" cm="1">
        <f t="array" ref="L90">IFERROR(OrdinalNumber(_xlfn.RANK.EQ(K90, $K$5:$K$103)), "")</f>
        <v/>
      </c>
    </row>
    <row r="91" spans="1:12" x14ac:dyDescent="0.25">
      <c r="A91" s="12" t="str">
        <v>87</v>
      </c>
      <c r="B91" s="5" t="str">
        <v/>
      </c>
      <c r="C91" s="33"/>
      <c r="D91" s="33"/>
      <c r="E91" s="33"/>
      <c r="F91" s="33"/>
      <c r="G91" s="23" t="str">
        <f t="shared" si="4"/>
        <v/>
      </c>
      <c r="H91" s="15" t="str">
        <f t="shared" si="5"/>
        <v/>
      </c>
      <c r="I91" s="33"/>
      <c r="J91" s="16" t="str">
        <f t="shared" si="6"/>
        <v/>
      </c>
      <c r="K91" s="15" t="str">
        <f t="shared" si="7"/>
        <v/>
      </c>
      <c r="L91" s="20" t="str" cm="1">
        <f t="array" ref="L91">IFERROR(OrdinalNumber(_xlfn.RANK.EQ(K91, $K$5:$K$103)), "")</f>
        <v/>
      </c>
    </row>
    <row r="92" spans="1:12" x14ac:dyDescent="0.25">
      <c r="A92" s="12" t="str">
        <v>88</v>
      </c>
      <c r="B92" s="5" t="str">
        <v/>
      </c>
      <c r="C92" s="33"/>
      <c r="D92" s="33"/>
      <c r="E92" s="33"/>
      <c r="F92" s="33"/>
      <c r="G92" s="23" t="str">
        <f t="shared" si="4"/>
        <v/>
      </c>
      <c r="H92" s="15" t="str">
        <f t="shared" si="5"/>
        <v/>
      </c>
      <c r="I92" s="33"/>
      <c r="J92" s="16" t="str">
        <f t="shared" si="6"/>
        <v/>
      </c>
      <c r="K92" s="15" t="str">
        <f t="shared" si="7"/>
        <v/>
      </c>
      <c r="L92" s="20" t="str" cm="1">
        <f t="array" ref="L92">IFERROR(OrdinalNumber(_xlfn.RANK.EQ(K92, $K$5:$K$103)), "")</f>
        <v/>
      </c>
    </row>
    <row r="93" spans="1:12" x14ac:dyDescent="0.25">
      <c r="A93" s="12" t="str">
        <v>89</v>
      </c>
      <c r="B93" s="5" t="str">
        <v/>
      </c>
      <c r="C93" s="33"/>
      <c r="D93" s="33"/>
      <c r="E93" s="33"/>
      <c r="F93" s="33"/>
      <c r="G93" s="23" t="str">
        <f t="shared" si="4"/>
        <v/>
      </c>
      <c r="H93" s="15" t="str">
        <f t="shared" si="5"/>
        <v/>
      </c>
      <c r="I93" s="33"/>
      <c r="J93" s="16" t="str">
        <f t="shared" si="6"/>
        <v/>
      </c>
      <c r="K93" s="15" t="str">
        <f t="shared" si="7"/>
        <v/>
      </c>
      <c r="L93" s="20" t="str" cm="1">
        <f t="array" ref="L93">IFERROR(OrdinalNumber(_xlfn.RANK.EQ(K93, $K$5:$K$103)), "")</f>
        <v/>
      </c>
    </row>
    <row r="94" spans="1:12" x14ac:dyDescent="0.25">
      <c r="A94" s="12" t="str">
        <v>90</v>
      </c>
      <c r="B94" s="5" t="str">
        <v/>
      </c>
      <c r="C94" s="33"/>
      <c r="D94" s="33"/>
      <c r="E94" s="33"/>
      <c r="F94" s="33"/>
      <c r="G94" s="23" t="str">
        <f t="shared" si="4"/>
        <v/>
      </c>
      <c r="H94" s="15" t="str">
        <f t="shared" si="5"/>
        <v/>
      </c>
      <c r="I94" s="33"/>
      <c r="J94" s="16" t="str">
        <f t="shared" si="6"/>
        <v/>
      </c>
      <c r="K94" s="15" t="str">
        <f t="shared" si="7"/>
        <v/>
      </c>
      <c r="L94" s="20" t="str" cm="1">
        <f t="array" ref="L94">IFERROR(OrdinalNumber(_xlfn.RANK.EQ(K94, $K$5:$K$103)), "")</f>
        <v/>
      </c>
    </row>
    <row r="95" spans="1:12" x14ac:dyDescent="0.25">
      <c r="A95" s="12" t="str">
        <v>91</v>
      </c>
      <c r="B95" s="5" t="str">
        <v/>
      </c>
      <c r="C95" s="33"/>
      <c r="D95" s="33"/>
      <c r="E95" s="33"/>
      <c r="F95" s="33"/>
      <c r="G95" s="23" t="str">
        <f t="shared" si="4"/>
        <v/>
      </c>
      <c r="H95" s="15" t="str">
        <f t="shared" si="5"/>
        <v/>
      </c>
      <c r="I95" s="33"/>
      <c r="J95" s="16" t="str">
        <f t="shared" si="6"/>
        <v/>
      </c>
      <c r="K95" s="15" t="str">
        <f t="shared" si="7"/>
        <v/>
      </c>
      <c r="L95" s="20" t="str" cm="1">
        <f t="array" ref="L95">IFERROR(OrdinalNumber(_xlfn.RANK.EQ(K95, $K$5:$K$103)), "")</f>
        <v/>
      </c>
    </row>
    <row r="96" spans="1:12" x14ac:dyDescent="0.25">
      <c r="A96" s="12" t="str">
        <v>92</v>
      </c>
      <c r="B96" s="5" t="str">
        <v/>
      </c>
      <c r="C96" s="33"/>
      <c r="D96" s="33"/>
      <c r="E96" s="33"/>
      <c r="F96" s="33"/>
      <c r="G96" s="23" t="str">
        <f t="shared" si="4"/>
        <v/>
      </c>
      <c r="H96" s="15" t="str">
        <f t="shared" si="5"/>
        <v/>
      </c>
      <c r="I96" s="33"/>
      <c r="J96" s="16" t="str">
        <f t="shared" si="6"/>
        <v/>
      </c>
      <c r="K96" s="15" t="str">
        <f t="shared" si="7"/>
        <v/>
      </c>
      <c r="L96" s="20" t="str" cm="1">
        <f t="array" ref="L96">IFERROR(OrdinalNumber(_xlfn.RANK.EQ(K96, $K$5:$K$103)), "")</f>
        <v/>
      </c>
    </row>
    <row r="97" spans="1:12" x14ac:dyDescent="0.25">
      <c r="A97" s="12" t="str">
        <v>93</v>
      </c>
      <c r="B97" s="5" t="str">
        <v/>
      </c>
      <c r="C97" s="33"/>
      <c r="D97" s="33"/>
      <c r="E97" s="33"/>
      <c r="F97" s="33"/>
      <c r="G97" s="23" t="str">
        <f t="shared" si="4"/>
        <v/>
      </c>
      <c r="H97" s="15" t="str">
        <f t="shared" si="5"/>
        <v/>
      </c>
      <c r="I97" s="33"/>
      <c r="J97" s="16" t="str">
        <f t="shared" si="6"/>
        <v/>
      </c>
      <c r="K97" s="15" t="str">
        <f t="shared" si="7"/>
        <v/>
      </c>
      <c r="L97" s="20" t="str" cm="1">
        <f t="array" ref="L97">IFERROR(OrdinalNumber(_xlfn.RANK.EQ(K97, $K$5:$K$103)), "")</f>
        <v/>
      </c>
    </row>
    <row r="98" spans="1:12" x14ac:dyDescent="0.25">
      <c r="A98" s="12" t="str">
        <v>94</v>
      </c>
      <c r="B98" s="5" t="str">
        <v/>
      </c>
      <c r="C98" s="33"/>
      <c r="D98" s="33"/>
      <c r="E98" s="33"/>
      <c r="F98" s="33"/>
      <c r="G98" s="23" t="str">
        <f t="shared" si="4"/>
        <v/>
      </c>
      <c r="H98" s="15" t="str">
        <f t="shared" si="5"/>
        <v/>
      </c>
      <c r="I98" s="33"/>
      <c r="J98" s="16" t="str">
        <f t="shared" si="6"/>
        <v/>
      </c>
      <c r="K98" s="15" t="str">
        <f t="shared" si="7"/>
        <v/>
      </c>
      <c r="L98" s="20" t="str" cm="1">
        <f t="array" ref="L98">IFERROR(OrdinalNumber(_xlfn.RANK.EQ(K98, $K$5:$K$103)), "")</f>
        <v/>
      </c>
    </row>
    <row r="99" spans="1:12" x14ac:dyDescent="0.25">
      <c r="A99" s="12" t="str">
        <v>95</v>
      </c>
      <c r="B99" s="5" t="str">
        <v/>
      </c>
      <c r="C99" s="33"/>
      <c r="D99" s="33"/>
      <c r="E99" s="33"/>
      <c r="F99" s="33"/>
      <c r="G99" s="23" t="str">
        <f t="shared" si="4"/>
        <v/>
      </c>
      <c r="H99" s="15" t="str">
        <f t="shared" si="5"/>
        <v/>
      </c>
      <c r="I99" s="33"/>
      <c r="J99" s="16" t="str">
        <f t="shared" si="6"/>
        <v/>
      </c>
      <c r="K99" s="15" t="str">
        <f t="shared" si="7"/>
        <v/>
      </c>
      <c r="L99" s="20" t="str" cm="1">
        <f t="array" ref="L99">IFERROR(OrdinalNumber(_xlfn.RANK.EQ(K99, $K$5:$K$103)), "")</f>
        <v/>
      </c>
    </row>
    <row r="100" spans="1:12" x14ac:dyDescent="0.25">
      <c r="A100" s="12" t="str">
        <v>96</v>
      </c>
      <c r="B100" s="5" t="str">
        <v/>
      </c>
      <c r="C100" s="33"/>
      <c r="D100" s="33"/>
      <c r="E100" s="33"/>
      <c r="F100" s="33"/>
      <c r="G100" s="23" t="str">
        <f t="shared" si="4"/>
        <v/>
      </c>
      <c r="H100" s="15" t="str">
        <f t="shared" si="5"/>
        <v/>
      </c>
      <c r="I100" s="33"/>
      <c r="J100" s="16" t="str">
        <f t="shared" si="6"/>
        <v/>
      </c>
      <c r="K100" s="15" t="str">
        <f t="shared" si="7"/>
        <v/>
      </c>
      <c r="L100" s="20" t="str" cm="1">
        <f t="array" ref="L100">IFERROR(OrdinalNumber(_xlfn.RANK.EQ(K100, $K$5:$K$103)), "")</f>
        <v/>
      </c>
    </row>
    <row r="101" spans="1:12" x14ac:dyDescent="0.25">
      <c r="A101" s="12" t="str">
        <v>97</v>
      </c>
      <c r="B101" s="5" t="str">
        <v/>
      </c>
      <c r="C101" s="33"/>
      <c r="D101" s="33"/>
      <c r="E101" s="33"/>
      <c r="F101" s="33"/>
      <c r="G101" s="23" t="str">
        <f t="shared" si="4"/>
        <v/>
      </c>
      <c r="H101" s="15" t="str">
        <f t="shared" si="5"/>
        <v/>
      </c>
      <c r="I101" s="33"/>
      <c r="J101" s="16" t="str">
        <f t="shared" si="6"/>
        <v/>
      </c>
      <c r="K101" s="15" t="str">
        <f t="shared" si="7"/>
        <v/>
      </c>
      <c r="L101" s="20" t="str" cm="1">
        <f t="array" ref="L101">IFERROR(OrdinalNumber(_xlfn.RANK.EQ(K101, $K$5:$K$103)), "")</f>
        <v/>
      </c>
    </row>
    <row r="102" spans="1:12" x14ac:dyDescent="0.25">
      <c r="A102" s="12" t="str">
        <v>98</v>
      </c>
      <c r="B102" s="5" t="str">
        <v/>
      </c>
      <c r="C102" s="33"/>
      <c r="D102" s="33"/>
      <c r="E102" s="33"/>
      <c r="F102" s="33"/>
      <c r="G102" s="23" t="str">
        <f t="shared" si="4"/>
        <v/>
      </c>
      <c r="H102" s="15" t="str">
        <f t="shared" si="5"/>
        <v/>
      </c>
      <c r="I102" s="33"/>
      <c r="J102" s="16" t="str">
        <f t="shared" si="6"/>
        <v/>
      </c>
      <c r="K102" s="15" t="str">
        <f t="shared" si="7"/>
        <v/>
      </c>
      <c r="L102" s="20" t="str" cm="1">
        <f t="array" ref="L102">IFERROR(OrdinalNumber(_xlfn.RANK.EQ(K102, $K$5:$K$103)), "")</f>
        <v/>
      </c>
    </row>
    <row r="103" spans="1:12" x14ac:dyDescent="0.25">
      <c r="A103" s="12" t="str">
        <v>99</v>
      </c>
      <c r="B103" s="5" t="str">
        <v/>
      </c>
      <c r="C103" s="33"/>
      <c r="D103" s="33"/>
      <c r="E103" s="33"/>
      <c r="F103" s="33"/>
      <c r="G103" s="23" t="str">
        <f t="shared" si="4"/>
        <v/>
      </c>
      <c r="H103" s="15" t="str">
        <f t="shared" si="5"/>
        <v/>
      </c>
      <c r="I103" s="33"/>
      <c r="J103" s="16" t="str">
        <f t="shared" si="6"/>
        <v/>
      </c>
      <c r="K103" s="15" t="str">
        <f t="shared" si="7"/>
        <v/>
      </c>
      <c r="L103" s="20" t="str" cm="1">
        <f t="array" ref="L103">IFERROR(OrdinalNumber(_xlfn.RANK.EQ(K103, $K$5:$K$103)), "")</f>
        <v/>
      </c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 s="21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 s="21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 s="21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 s="21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 s="21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 s="21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 s="21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 s="2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 s="21"/>
    </row>
  </sheetData>
  <sheetProtection algorithmName="SHA-512" hashValue="QU3tNgc3soDfUurB7zHhsnDIq7JerTYSO/88a+EIYpjtx0GCnXin8GwaaTTR87mVE731/GjQlczbfjyMKZUyIw==" saltValue="/Y6z1LXicqBBcrEO/YCJ1Q==" spinCount="100000" sheet="1" objects="1" scenarios="1" selectLockedCells="1"/>
  <protectedRanges>
    <protectedRange algorithmName="SHA-512" hashValue="vnz7/tBfeBEtPSo1DRTOiJ0malg40k88kLwXwuTnKq1otkNsB4JBPKAbXVLfR3hLk17QUHLlcBLeMFh4yuAfUA==" saltValue="MmUe8Wiu1EW9SuFooTwUKg==" spinCount="100000" sqref="C5:F103" name="Tasks" securityDescriptor="O:WDG:WDD:(A;;CC;;;WD)"/>
    <protectedRange algorithmName="SHA-512" hashValue="DLDfvyR8uUfXNnsX7oWzXx6OZOq1gNQvavFZmr2SSP/MBjlL9gKeJhwdPDJDvpthlJFzpLirgKWcA25zBtAdBQ==" saltValue="yHfrE6xC8/w80nKJL94rOA==" spinCount="100000" sqref="I5:I103" name="Exams" securityDescriptor="O:WDG:WDD:(A;;CC;;;WD)"/>
  </protectedRanges>
  <dataConsolidate/>
  <customSheetViews>
    <customSheetView guid="{DAFF8696-ECB7-4E31-A620-00DEB4156F0C}">
      <selection activeCell="F9" sqref="F9"/>
    </customSheetView>
  </customSheetViews>
  <mergeCells count="10">
    <mergeCell ref="L2:L4"/>
    <mergeCell ref="A1:K1"/>
    <mergeCell ref="A2:A4"/>
    <mergeCell ref="B2:B4"/>
    <mergeCell ref="C2:F2"/>
    <mergeCell ref="G2:G4"/>
    <mergeCell ref="H2:H4"/>
    <mergeCell ref="I2:I3"/>
    <mergeCell ref="J2:J4"/>
    <mergeCell ref="K2:K4"/>
  </mergeCells>
  <dataValidations count="4">
    <dataValidation type="decimal" allowBlank="1" showInputMessage="1" showErrorMessage="1" errorTitle="Invalid Input" error="Please enter a number between 0 and 30." prompt="Enter a  number between 0 and 30." sqref="C5:C103" xr:uid="{7E7B5E45-72CA-4BA5-AAD9-59906D13B1E4}">
      <formula1>0</formula1>
      <formula2>30</formula2>
    </dataValidation>
    <dataValidation type="decimal" allowBlank="1" showInputMessage="1" showErrorMessage="1" errorTitle="Invalid Input" error="Please enter a number between 0 and 20." prompt="Enter a number between 0 and 20." sqref="D5:D103 F5:F103" xr:uid="{3B64F992-5099-42E0-99E5-9B7D08F4727D}">
      <formula1>0</formula1>
      <formula2>20</formula2>
    </dataValidation>
    <dataValidation type="decimal" allowBlank="1" showInputMessage="1" showErrorMessage="1" errorTitle="Invalid Input" error="Please enter a number between 0 and 30." prompt="Enter a number between 0 and 30." sqref="E5:E103" xr:uid="{F8C230CC-EAEE-4738-80F0-BC224B3922F3}">
      <formula1>0</formula1>
      <formula2>30</formula2>
    </dataValidation>
    <dataValidation type="decimal" allowBlank="1" showInputMessage="1" showErrorMessage="1" errorTitle="Invalid Input" error="Please enter a number between 0 and 100." prompt="Enter a  number between 0 and 100." sqref="I5:I103" xr:uid="{E5E8B478-5AAD-4300-98E2-C849753BF11C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FreezeHeader">
              <controlPr defaultSize="0" print="0" autoFill="0" autoPict="0" macro="[0]!ThisWorkbook.FreezeHeader">
                <anchor moveWithCells="1" sizeWithCells="1">
                  <from>
                    <xdr:col>12</xdr:col>
                    <xdr:colOff>276225</xdr:colOff>
                    <xdr:row>1</xdr:row>
                    <xdr:rowOff>66675</xdr:rowOff>
                  </from>
                  <to>
                    <xdr:col>15</xdr:col>
                    <xdr:colOff>238125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BAD9-E474-438E-9A05-E72BFF2BF1BC}">
  <sheetPr codeName="Sheet2"/>
  <dimension ref="A1:CG105"/>
  <sheetViews>
    <sheetView zoomScaleNormal="100" workbookViewId="0">
      <pane xSplit="2" ySplit="2" topLeftCell="BE3" activePane="bottomRight" state="frozen"/>
      <selection pane="topRight" activeCell="C1" sqref="C1"/>
      <selection pane="bottomLeft" activeCell="A3" sqref="A3"/>
      <selection pane="bottomRight" activeCell="BQ3" sqref="BQ3"/>
    </sheetView>
  </sheetViews>
  <sheetFormatPr defaultRowHeight="15" outlineLevelCol="1" x14ac:dyDescent="0.25"/>
  <cols>
    <col min="1" max="1" width="6.42578125" style="53" customWidth="1"/>
    <col min="2" max="2" width="25.85546875" style="54" customWidth="1"/>
    <col min="3" max="4" width="5.140625" style="63" customWidth="1" outlineLevel="1"/>
    <col min="5" max="5" width="5.140625" style="64" customWidth="1" outlineLevel="1"/>
    <col min="6" max="6" width="5.5703125" style="63" customWidth="1" outlineLevel="1"/>
    <col min="7" max="7" width="4.5703125" style="65" customWidth="1" outlineLevel="1"/>
    <col min="8" max="8" width="10.42578125" style="66" customWidth="1" outlineLevel="1"/>
    <col min="9" max="9" width="2" style="67" customWidth="1" outlineLevel="1"/>
    <col min="10" max="11" width="5.140625" style="63" customWidth="1" outlineLevel="1"/>
    <col min="12" max="12" width="5.140625" style="64" customWidth="1" outlineLevel="1"/>
    <col min="13" max="13" width="5.5703125" style="63" customWidth="1" outlineLevel="1"/>
    <col min="14" max="14" width="5.5703125" style="65" customWidth="1" outlineLevel="1"/>
    <col min="15" max="15" width="8.5703125" style="63" customWidth="1" outlineLevel="1"/>
    <col min="16" max="16" width="1.85546875" style="67" customWidth="1" outlineLevel="1"/>
    <col min="17" max="18" width="5.5703125" style="63" bestFit="1" customWidth="1" outlineLevel="1"/>
    <col min="19" max="19" width="5.140625" style="64" customWidth="1" outlineLevel="1"/>
    <col min="20" max="20" width="5.5703125" style="63" customWidth="1" outlineLevel="1"/>
    <col min="21" max="21" width="4.5703125" style="65" customWidth="1" outlineLevel="1"/>
    <col min="22" max="22" width="9" style="63" customWidth="1" outlineLevel="1"/>
    <col min="23" max="23" width="1.5703125" style="67" customWidth="1" outlineLevel="1"/>
    <col min="24" max="25" width="6.7109375" style="63" customWidth="1" outlineLevel="1"/>
    <col min="26" max="26" width="6.7109375" style="64" customWidth="1" outlineLevel="1"/>
    <col min="27" max="27" width="6.7109375" style="63" customWidth="1" outlineLevel="1"/>
    <col min="28" max="28" width="6.7109375" style="65" customWidth="1" outlineLevel="1"/>
    <col min="29" max="29" width="6.7109375" style="63" customWidth="1" outlineLevel="1"/>
    <col min="30" max="30" width="2.140625" style="67" customWidth="1" outlineLevel="1"/>
    <col min="31" max="32" width="6.7109375" style="63" customWidth="1" outlineLevel="1"/>
    <col min="33" max="33" width="6.7109375" style="64" customWidth="1" outlineLevel="1"/>
    <col min="34" max="34" width="6.7109375" style="63" customWidth="1" outlineLevel="1"/>
    <col min="35" max="35" width="6.7109375" style="65" customWidth="1" outlineLevel="1"/>
    <col min="36" max="36" width="6.7109375" style="63" customWidth="1" outlineLevel="1"/>
    <col min="37" max="37" width="1.7109375" style="67" customWidth="1" outlineLevel="1"/>
    <col min="38" max="39" width="6.7109375" style="63" customWidth="1" outlineLevel="1"/>
    <col min="40" max="40" width="6.7109375" style="68" customWidth="1" outlineLevel="1"/>
    <col min="41" max="41" width="6.7109375" style="63" customWidth="1" outlineLevel="1"/>
    <col min="42" max="42" width="6.7109375" style="65" customWidth="1" outlineLevel="1"/>
    <col min="43" max="43" width="6.7109375" style="63" customWidth="1" outlineLevel="1"/>
    <col min="44" max="44" width="2" style="67" customWidth="1" outlineLevel="1"/>
    <col min="45" max="45" width="6" style="63" customWidth="1" outlineLevel="1"/>
    <col min="46" max="46" width="6.7109375" style="63" customWidth="1" outlineLevel="1"/>
    <col min="47" max="47" width="6.7109375" style="64" customWidth="1" outlineLevel="1"/>
    <col min="48" max="48" width="6.7109375" style="63" customWidth="1" outlineLevel="1"/>
    <col min="49" max="49" width="6.7109375" style="65" customWidth="1" outlineLevel="1"/>
    <col min="50" max="50" width="6.7109375" style="63" customWidth="1" outlineLevel="1"/>
    <col min="51" max="51" width="1.5703125" style="69" customWidth="1" outlineLevel="1"/>
    <col min="52" max="53" width="6.7109375" style="63" customWidth="1" outlineLevel="1"/>
    <col min="54" max="54" width="6.7109375" style="64" customWidth="1" outlineLevel="1"/>
    <col min="55" max="55" width="6.7109375" style="63" customWidth="1" outlineLevel="1"/>
    <col min="56" max="56" width="6.7109375" style="65" customWidth="1" outlineLevel="1"/>
    <col min="57" max="57" width="6.7109375" style="63" customWidth="1" outlineLevel="1"/>
    <col min="58" max="58" width="1.85546875" style="67" customWidth="1" outlineLevel="1"/>
    <col min="59" max="60" width="6.7109375" style="63" customWidth="1" outlineLevel="1"/>
    <col min="61" max="61" width="6.7109375" style="64" customWidth="1" outlineLevel="1"/>
    <col min="62" max="62" width="6.7109375" style="63" customWidth="1" outlineLevel="1"/>
    <col min="63" max="63" width="6.7109375" style="65" customWidth="1" outlineLevel="1"/>
    <col min="64" max="64" width="6.7109375" style="63" customWidth="1" outlineLevel="1"/>
    <col min="65" max="65" width="3" style="75" customWidth="1"/>
    <col min="66" max="66" width="6.7109375" style="97" customWidth="1"/>
    <col min="67" max="67" width="9.42578125" style="18" customWidth="1"/>
    <col min="68" max="68" width="9.5703125" style="98" customWidth="1"/>
    <col min="69" max="69" width="13.7109375" style="105" customWidth="1"/>
    <col min="70" max="70" width="12.85546875" style="100" customWidth="1"/>
    <col min="71" max="71" width="14.140625" style="103" customWidth="1"/>
    <col min="72" max="72" width="37.85546875" style="83" customWidth="1"/>
    <col min="73" max="73" width="25.7109375" style="78" bestFit="1" customWidth="1"/>
    <col min="74" max="74" width="7.5703125" style="78" bestFit="1" customWidth="1"/>
    <col min="75" max="75" width="10.28515625" style="78" bestFit="1" customWidth="1"/>
    <col min="76" max="76" width="6" style="78" bestFit="1" customWidth="1"/>
    <col min="77" max="77" width="17.85546875" style="80" bestFit="1" customWidth="1"/>
    <col min="78" max="78" width="15.5703125" style="80" bestFit="1" customWidth="1"/>
    <col min="79" max="79" width="6.28515625" style="78" bestFit="1" customWidth="1"/>
    <col min="80" max="85" width="9.140625" style="79"/>
  </cols>
  <sheetData>
    <row r="1" spans="1:85" ht="25.5" customHeight="1" x14ac:dyDescent="0.25">
      <c r="A1" s="42" t="s">
        <v>0</v>
      </c>
      <c r="B1" s="43" t="s">
        <v>4</v>
      </c>
      <c r="C1" s="143" t="s">
        <v>33</v>
      </c>
      <c r="D1" s="144"/>
      <c r="E1" s="144"/>
      <c r="F1" s="144"/>
      <c r="G1" s="144"/>
      <c r="H1" s="145"/>
      <c r="I1" s="44"/>
      <c r="J1" s="143" t="s">
        <v>32</v>
      </c>
      <c r="K1" s="144"/>
      <c r="L1" s="144"/>
      <c r="M1" s="144"/>
      <c r="N1" s="144"/>
      <c r="O1" s="145"/>
      <c r="P1" s="45"/>
      <c r="Q1" s="143" t="s">
        <v>31</v>
      </c>
      <c r="R1" s="144"/>
      <c r="S1" s="144"/>
      <c r="T1" s="144"/>
      <c r="U1" s="144"/>
      <c r="V1" s="145"/>
      <c r="W1" s="45"/>
      <c r="X1" s="143" t="s">
        <v>21</v>
      </c>
      <c r="Y1" s="144"/>
      <c r="Z1" s="144"/>
      <c r="AA1" s="144"/>
      <c r="AB1" s="144"/>
      <c r="AC1" s="145"/>
      <c r="AD1" s="45"/>
      <c r="AE1" s="143" t="s">
        <v>34</v>
      </c>
      <c r="AF1" s="144"/>
      <c r="AG1" s="144"/>
      <c r="AH1" s="144"/>
      <c r="AI1" s="144"/>
      <c r="AJ1" s="145"/>
      <c r="AK1" s="45"/>
      <c r="AL1" s="143" t="s">
        <v>35</v>
      </c>
      <c r="AM1" s="144"/>
      <c r="AN1" s="144"/>
      <c r="AO1" s="144"/>
      <c r="AP1" s="144"/>
      <c r="AQ1" s="145"/>
      <c r="AR1" s="45"/>
      <c r="AS1" s="143" t="s">
        <v>103</v>
      </c>
      <c r="AT1" s="144"/>
      <c r="AU1" s="144"/>
      <c r="AV1" s="144"/>
      <c r="AW1" s="144"/>
      <c r="AX1" s="145"/>
      <c r="AY1" s="46"/>
      <c r="AZ1" s="143" t="s">
        <v>36</v>
      </c>
      <c r="BA1" s="144"/>
      <c r="BB1" s="144"/>
      <c r="BC1" s="144"/>
      <c r="BD1" s="144"/>
      <c r="BE1" s="145"/>
      <c r="BF1" s="45"/>
      <c r="BG1" s="143" t="s">
        <v>22</v>
      </c>
      <c r="BH1" s="144"/>
      <c r="BI1" s="144"/>
      <c r="BJ1" s="144"/>
      <c r="BK1" s="144"/>
      <c r="BL1" s="145"/>
      <c r="BM1" s="72"/>
      <c r="BN1" s="146" t="s">
        <v>20</v>
      </c>
      <c r="BO1" s="152" t="s">
        <v>99</v>
      </c>
      <c r="BP1" s="146" t="s">
        <v>2</v>
      </c>
      <c r="BQ1" s="150" t="s">
        <v>40</v>
      </c>
      <c r="BR1" s="150" t="s">
        <v>44</v>
      </c>
      <c r="BS1" s="101" t="s">
        <v>45</v>
      </c>
      <c r="BT1" s="148" t="s">
        <v>1</v>
      </c>
      <c r="BU1" s="84" t="s">
        <v>42</v>
      </c>
      <c r="BV1" s="84" t="s">
        <v>37</v>
      </c>
      <c r="BW1" s="84" t="s">
        <v>41</v>
      </c>
      <c r="BX1" s="84" t="s">
        <v>38</v>
      </c>
      <c r="BY1" s="113" t="s">
        <v>39</v>
      </c>
      <c r="BZ1" s="113" t="s">
        <v>50</v>
      </c>
      <c r="CA1" s="84" t="s">
        <v>43</v>
      </c>
      <c r="CB1" s="85"/>
    </row>
    <row r="2" spans="1:85" s="37" customFormat="1" ht="33" customHeight="1" x14ac:dyDescent="0.25">
      <c r="A2" s="47"/>
      <c r="B2" s="48"/>
      <c r="C2" s="49" t="s">
        <v>29</v>
      </c>
      <c r="D2" s="49" t="s">
        <v>30</v>
      </c>
      <c r="E2" s="49" t="s">
        <v>24</v>
      </c>
      <c r="F2" s="49" t="s">
        <v>25</v>
      </c>
      <c r="G2" s="49" t="s">
        <v>26</v>
      </c>
      <c r="H2" s="49" t="s">
        <v>27</v>
      </c>
      <c r="I2" s="50"/>
      <c r="J2" s="49" t="s">
        <v>23</v>
      </c>
      <c r="K2" s="49" t="s">
        <v>28</v>
      </c>
      <c r="L2" s="49" t="s">
        <v>24</v>
      </c>
      <c r="M2" s="49" t="s">
        <v>25</v>
      </c>
      <c r="N2" s="49" t="s">
        <v>26</v>
      </c>
      <c r="O2" s="49" t="s">
        <v>27</v>
      </c>
      <c r="P2" s="50"/>
      <c r="Q2" s="49" t="s">
        <v>23</v>
      </c>
      <c r="R2" s="49" t="s">
        <v>28</v>
      </c>
      <c r="S2" s="49" t="s">
        <v>24</v>
      </c>
      <c r="T2" s="49" t="s">
        <v>25</v>
      </c>
      <c r="U2" s="49" t="s">
        <v>26</v>
      </c>
      <c r="V2" s="49" t="s">
        <v>27</v>
      </c>
      <c r="W2" s="50"/>
      <c r="X2" s="49" t="s">
        <v>23</v>
      </c>
      <c r="Y2" s="49" t="s">
        <v>28</v>
      </c>
      <c r="Z2" s="49" t="s">
        <v>24</v>
      </c>
      <c r="AA2" s="49" t="s">
        <v>25</v>
      </c>
      <c r="AB2" s="49" t="s">
        <v>26</v>
      </c>
      <c r="AC2" s="49" t="s">
        <v>27</v>
      </c>
      <c r="AD2" s="50"/>
      <c r="AE2" s="49" t="s">
        <v>23</v>
      </c>
      <c r="AF2" s="49" t="s">
        <v>28</v>
      </c>
      <c r="AG2" s="49" t="s">
        <v>24</v>
      </c>
      <c r="AH2" s="49" t="s">
        <v>25</v>
      </c>
      <c r="AI2" s="49" t="s">
        <v>26</v>
      </c>
      <c r="AJ2" s="49" t="s">
        <v>27</v>
      </c>
      <c r="AK2" s="50"/>
      <c r="AL2" s="49" t="s">
        <v>23</v>
      </c>
      <c r="AM2" s="49" t="s">
        <v>28</v>
      </c>
      <c r="AN2" s="49" t="s">
        <v>24</v>
      </c>
      <c r="AO2" s="49" t="s">
        <v>25</v>
      </c>
      <c r="AP2" s="49" t="s">
        <v>26</v>
      </c>
      <c r="AQ2" s="49" t="s">
        <v>27</v>
      </c>
      <c r="AR2" s="50"/>
      <c r="AS2" s="49" t="s">
        <v>23</v>
      </c>
      <c r="AT2" s="49" t="s">
        <v>28</v>
      </c>
      <c r="AU2" s="49" t="s">
        <v>24</v>
      </c>
      <c r="AV2" s="49" t="s">
        <v>25</v>
      </c>
      <c r="AW2" s="49" t="s">
        <v>26</v>
      </c>
      <c r="AX2" s="49" t="s">
        <v>27</v>
      </c>
      <c r="AY2" s="51"/>
      <c r="AZ2" s="49" t="s">
        <v>23</v>
      </c>
      <c r="BA2" s="49" t="s">
        <v>28</v>
      </c>
      <c r="BB2" s="49" t="s">
        <v>24</v>
      </c>
      <c r="BC2" s="49" t="s">
        <v>25</v>
      </c>
      <c r="BD2" s="49" t="s">
        <v>26</v>
      </c>
      <c r="BE2" s="49" t="s">
        <v>27</v>
      </c>
      <c r="BF2" s="52"/>
      <c r="BG2" s="49" t="s">
        <v>23</v>
      </c>
      <c r="BH2" s="49" t="s">
        <v>28</v>
      </c>
      <c r="BI2" s="49" t="s">
        <v>24</v>
      </c>
      <c r="BJ2" s="49" t="s">
        <v>25</v>
      </c>
      <c r="BK2" s="49" t="s">
        <v>26</v>
      </c>
      <c r="BL2" s="49" t="s">
        <v>27</v>
      </c>
      <c r="BM2" s="73"/>
      <c r="BN2" s="147"/>
      <c r="BO2" s="153"/>
      <c r="BP2" s="147"/>
      <c r="BQ2" s="151"/>
      <c r="BR2" s="151"/>
      <c r="BS2" s="102"/>
      <c r="BT2" s="149"/>
      <c r="BU2" s="86"/>
      <c r="BV2" s="86"/>
      <c r="BW2" s="86"/>
      <c r="BX2" s="86"/>
      <c r="BY2" s="114"/>
      <c r="BZ2" s="114"/>
      <c r="CA2" s="86"/>
      <c r="CB2" s="85"/>
      <c r="CC2" s="79"/>
      <c r="CD2" s="79"/>
      <c r="CE2" s="79"/>
      <c r="CF2" s="79"/>
      <c r="CG2" s="79"/>
    </row>
    <row r="3" spans="1:85" x14ac:dyDescent="0.25">
      <c r="A3" s="53" t="str" cm="1">
        <f t="array" ref="A3:B101">students &amp; ""</f>
        <v>1</v>
      </c>
      <c r="B3" s="54" t="str">
        <v/>
      </c>
      <c r="C3" s="55" t="str">
        <f>IFERROR(ROUND(ENGLISH!H5,0), "")</f>
        <v/>
      </c>
      <c r="D3" s="55" t="str">
        <f>IFERROR(ROUND(ENGLISH!J5,0), "")</f>
        <v/>
      </c>
      <c r="E3" s="56" t="str">
        <f>IF(SUM(C3,D3)&lt;&gt;0, SUM(C3,D3), "")</f>
        <v/>
      </c>
      <c r="F3" s="57" t="str" cm="1">
        <f t="array" ref="F3">IF(E3&lt;&gt;"", ToGrade(E3), "")</f>
        <v/>
      </c>
      <c r="G3" s="58" t="str">
        <f>ENGLISH!L5</f>
        <v/>
      </c>
      <c r="H3" s="59" t="str" cm="1">
        <f t="array" ref="H3">IF(E3&lt;&gt;"", ToRemark(E3), "")</f>
        <v/>
      </c>
      <c r="I3" s="60"/>
      <c r="J3" s="55" t="str">
        <f>IFERROR(ROUND(MATHS!H5,0), "")</f>
        <v/>
      </c>
      <c r="K3" s="55" t="str">
        <f>IFERROR(ROUND(MATHS!J5,0), "")</f>
        <v/>
      </c>
      <c r="L3" s="56" t="str">
        <f>IF(SUM(J3,K3)&lt;&gt;0, SUM(J3,K3), "")</f>
        <v/>
      </c>
      <c r="M3" s="57" t="str" cm="1">
        <f t="array" ref="M3">IF(L3&lt;&gt;"", ToGrade(L3), "")</f>
        <v/>
      </c>
      <c r="N3" s="58" t="str">
        <f>MATHS!L5</f>
        <v/>
      </c>
      <c r="O3" s="59" t="str" cm="1">
        <f t="array" ref="O3">IF(L3&lt;&gt;"", ToRemark(L3), "")</f>
        <v/>
      </c>
      <c r="P3" s="60"/>
      <c r="Q3" s="57" t="str">
        <f>IFERROR(ROUND(SCIENCE!H5,0), "")</f>
        <v/>
      </c>
      <c r="R3" s="57" t="str">
        <f>IFERROR(ROUND(SCIENCE!J5,0), "")</f>
        <v/>
      </c>
      <c r="S3" s="56" t="str">
        <f>IF(SUM(Q3,R3)&lt;&gt;0, SUM(Q3,R3), "")</f>
        <v/>
      </c>
      <c r="T3" s="57" t="str" cm="1">
        <f t="array" ref="T3">IF(S3&lt;&gt;"", ToGrade(S3), "")</f>
        <v/>
      </c>
      <c r="U3" s="58" t="str">
        <f>SCIENCE!L5</f>
        <v/>
      </c>
      <c r="V3" s="59" t="str" cm="1">
        <f t="array" ref="V3">IF(S3&lt;&gt;"", ToRemark(S3), "")</f>
        <v/>
      </c>
      <c r="W3" s="60"/>
      <c r="X3" s="57" t="str">
        <f>IFERROR(ROUND(OWOP!H5,0), "")</f>
        <v/>
      </c>
      <c r="Y3" s="57" t="str">
        <f>IFERROR(ROUND(OWOP!J5,0), "")</f>
        <v/>
      </c>
      <c r="Z3" s="56" t="str">
        <f>IF(SUM(X3,Y3)&lt;&gt;0, SUM(X3,Y3), "")</f>
        <v/>
      </c>
      <c r="AA3" s="57" t="str" cm="1">
        <f t="array" ref="AA3">IF(Z3&lt;&gt;"", ToGrade(Z3), "")</f>
        <v/>
      </c>
      <c r="AB3" s="58" t="str">
        <f>OWOP!L5</f>
        <v/>
      </c>
      <c r="AC3" s="59" t="str" cm="1">
        <f t="array" ref="AC3">IF(Z3&lt;&gt;"", ToRemark(Z3), "")</f>
        <v/>
      </c>
      <c r="AD3" s="60"/>
      <c r="AE3" s="57" t="str">
        <f>IFERROR(ROUND('C ARTS'!H5,0), "")</f>
        <v/>
      </c>
      <c r="AF3" s="57" t="str">
        <f>IFERROR(ROUND('C ARTS'!J5,0), "")</f>
        <v/>
      </c>
      <c r="AG3" s="56" t="str">
        <f>IF(SUM(AE3,AF3)&lt;&gt;0, SUM(AE3,AF3), "")</f>
        <v/>
      </c>
      <c r="AH3" s="57" t="str" cm="1">
        <f t="array" ref="AH3">IF(AG3&lt;&gt;"", ToGrade(AG3), "")</f>
        <v/>
      </c>
      <c r="AI3" s="58" t="str">
        <f>'C ARTS'!L5</f>
        <v/>
      </c>
      <c r="AJ3" s="59" t="str" cm="1">
        <f t="array" ref="AJ3">IF(AG3&lt;&gt;"", ToRemark(AG3), "")</f>
        <v/>
      </c>
      <c r="AK3" s="60"/>
      <c r="AL3" s="57" t="str">
        <f>IFERROR(ROUND('GH LANG'!H5,0), "")</f>
        <v/>
      </c>
      <c r="AM3" s="57" t="str">
        <f>IFERROR(ROUND('GH LANG'!J5,0), "")</f>
        <v/>
      </c>
      <c r="AN3" s="61" t="str">
        <f>IF(SUM(AL3,AM3)&lt;&gt;0, SUM(AL3,AM3), "")</f>
        <v/>
      </c>
      <c r="AO3" s="57" t="str" cm="1">
        <f t="array" ref="AO3">IF(AN3&lt;&gt;"", ToGrade(AN3), "")</f>
        <v/>
      </c>
      <c r="AP3" s="58" t="str">
        <f>'GH LANG'!L5</f>
        <v/>
      </c>
      <c r="AQ3" s="59" t="str" cm="1">
        <f t="array" ref="AQ3">IF(AN3&lt;&gt;"", ToRemark(AN3), "")</f>
        <v/>
      </c>
      <c r="AR3" s="60"/>
      <c r="AS3" s="57" t="str">
        <f>IFERROR(ROUND(COMPUTING!H5,0), "")</f>
        <v/>
      </c>
      <c r="AT3" s="57" t="str">
        <f>IFERROR(ROUND(COMPUTING!J5,0), "")</f>
        <v/>
      </c>
      <c r="AU3" s="56" t="str">
        <f>IF(SUM(AS3,AT3)&lt;&gt;0, SUM(AS3,AT3), "")</f>
        <v/>
      </c>
      <c r="AV3" s="57" t="str" cm="1">
        <f t="array" ref="AV3">IF(AU3&lt;&gt;"", ToGrade(AU3), "")</f>
        <v/>
      </c>
      <c r="AW3" s="58" t="str">
        <f>COMPUTING!L5</f>
        <v/>
      </c>
      <c r="AX3" s="59" t="str" cm="1">
        <f t="array" ref="AX3">IF(AU3&lt;&gt;"", ToRemark(AU3), "")</f>
        <v/>
      </c>
      <c r="AY3" s="62"/>
      <c r="AZ3" s="57" t="str">
        <f>IFERROR(ROUND(HISTERY!H5,0), "")</f>
        <v/>
      </c>
      <c r="BA3" s="57" t="str">
        <f>IFERROR(ROUND(HISTERY!J5,0), "")</f>
        <v/>
      </c>
      <c r="BB3" s="56" t="str">
        <f>IF(SUM(AZ3,BA3)&lt;&gt;0, SUM(AZ3,BA3), "")</f>
        <v/>
      </c>
      <c r="BC3" s="57" t="str" cm="1">
        <f t="array" ref="BC3">IF(BB3&lt;&gt;"", ToGrade(BB3), "")</f>
        <v/>
      </c>
      <c r="BD3" s="58" t="str">
        <f>HISTERY!L5</f>
        <v/>
      </c>
      <c r="BE3" s="59" t="str" cm="1">
        <f t="array" ref="BE3">IF(BB3&lt;&gt;"", ToRemark(BB3), "")</f>
        <v/>
      </c>
      <c r="BF3" s="60"/>
      <c r="BG3" s="57" t="str">
        <f>IFERROR(ROUND(RME!H5,0), "")</f>
        <v/>
      </c>
      <c r="BH3" s="57" t="str">
        <f>IFERROR(ROUND(RME!J5,0), "")</f>
        <v/>
      </c>
      <c r="BI3" s="56" t="str">
        <f>IF(SUM(BG3,BH3)&lt;&gt;0, SUM(BG3,BH3), "")</f>
        <v/>
      </c>
      <c r="BJ3" s="57" t="str" cm="1">
        <f t="array" ref="BJ3">IF(BI3&lt;&gt;"", ToGrade(BI3), "")</f>
        <v/>
      </c>
      <c r="BK3" s="58" t="str">
        <f>RME!L5</f>
        <v/>
      </c>
      <c r="BL3" s="59" t="str" cm="1">
        <f t="array" ref="BL3">IF(BI3&lt;&gt;"", ToRemark(BI3), "")</f>
        <v/>
      </c>
      <c r="BM3" s="74"/>
      <c r="BN3" s="97" t="str">
        <f>IF(B3&lt;&gt;"", SUM(E3,L3,S3,Z3,AG3,AN3,AU3,BB3,BI3), "")</f>
        <v/>
      </c>
      <c r="BO3" s="106" t="str">
        <f>IFERROR(IF(BM3&lt;&gt;0, BN3/10, BN3/9), "")</f>
        <v/>
      </c>
      <c r="BP3" s="98" t="str" cm="1">
        <f t="array" ref="BP3">IFERROR(OrdinalNumber(_xlfn.RANK.EQ(BN3,$BN$3:$BN$101)), "")</f>
        <v/>
      </c>
      <c r="BQ3" s="104"/>
      <c r="BR3" s="99"/>
      <c r="BS3" s="111"/>
      <c r="BT3" s="83" t="str" cm="1">
        <f t="array" ref="BT3">IF(LEN(B3)&lt;&gt;0, GetTeacherRemark(BO3), "")</f>
        <v/>
      </c>
      <c r="BU3" s="86" t="str">
        <f t="shared" ref="BU3:BU34" si="0">IF(B3&lt;&gt;"", selected_school, "")</f>
        <v/>
      </c>
      <c r="BV3" s="86" t="str">
        <f t="shared" ref="BV3:BV34" si="1">IF(B3&lt;&gt;"",class, "")</f>
        <v/>
      </c>
      <c r="BW3" s="86" t="str">
        <f t="shared" ref="BW3:BW34" si="2">IF(B3&lt;&gt;"",class_size,"")</f>
        <v/>
      </c>
      <c r="BX3" s="86" t="str">
        <f t="shared" ref="BX3:BX34" si="3">IF(B3&lt;&gt;"", term, "")</f>
        <v/>
      </c>
      <c r="BY3" s="115" t="str">
        <f t="shared" ref="BY3:BY34" si="4">IF(B3&lt;&gt;"",TEXT(reopen_date, "dd mmmm, yyyy"), "")</f>
        <v/>
      </c>
      <c r="BZ3" s="87" t="str">
        <f t="shared" ref="BZ3:BZ34" si="5">IF(B3&lt;&gt;"",TEXT(vacation_date, "dd mmmm, yyyy"), "")</f>
        <v/>
      </c>
      <c r="CA3" s="86" t="str">
        <f t="shared" ref="CA3:CA34" si="6">IF(B3&lt;&gt;"", total_attendance, "")</f>
        <v/>
      </c>
      <c r="CB3" s="85"/>
    </row>
    <row r="4" spans="1:85" x14ac:dyDescent="0.25">
      <c r="A4" s="53" t="str">
        <v>2</v>
      </c>
      <c r="B4" s="54" t="str">
        <v/>
      </c>
      <c r="C4" s="55" t="str">
        <f>IFERROR(ROUND(ENGLISH!H6,0), "")</f>
        <v/>
      </c>
      <c r="D4" s="55" t="str">
        <f>IFERROR(ROUND(ENGLISH!J6,0), "")</f>
        <v/>
      </c>
      <c r="E4" s="56" t="str">
        <f t="shared" ref="E4:E67" si="7">IF(SUM(C4,D4)&lt;&gt;0, SUM(C4,D4), "")</f>
        <v/>
      </c>
      <c r="F4" s="57" t="str" cm="1">
        <f t="array" ref="F4">IF(E4&lt;&gt;"", ToGrade(E4), "")</f>
        <v/>
      </c>
      <c r="G4" s="58" t="str">
        <f>ENGLISH!L6</f>
        <v/>
      </c>
      <c r="H4" s="59" t="str" cm="1">
        <f t="array" ref="H4">IF(E4&lt;&gt;"", ToRemark(E4), "")</f>
        <v/>
      </c>
      <c r="I4" s="60"/>
      <c r="J4" s="55" t="str">
        <f>IFERROR(ROUND(MATHS!H6,0), "")</f>
        <v/>
      </c>
      <c r="K4" s="55" t="str">
        <f>IFERROR(ROUND(MATHS!J6,0), "")</f>
        <v/>
      </c>
      <c r="L4" s="56" t="str">
        <f t="shared" ref="L4:L67" si="8">IF(SUM(J4,K4)&lt;&gt;0, SUM(J4,K4), "")</f>
        <v/>
      </c>
      <c r="M4" s="57" t="str" cm="1">
        <f t="array" ref="M4">IF(L4&lt;&gt;"", ToGrade(L4), "")</f>
        <v/>
      </c>
      <c r="N4" s="58" t="str">
        <f>MATHS!L6</f>
        <v/>
      </c>
      <c r="O4" s="59" t="str" cm="1">
        <f t="array" ref="O4">IF(L4&lt;&gt;"", ToRemark(L4), "")</f>
        <v/>
      </c>
      <c r="P4" s="60"/>
      <c r="Q4" s="57" t="str">
        <f>IFERROR(ROUND(SCIENCE!H6,0), "")</f>
        <v/>
      </c>
      <c r="R4" s="57" t="str">
        <f>IFERROR(ROUND(SCIENCE!J6,0), "")</f>
        <v/>
      </c>
      <c r="S4" s="56" t="str">
        <f t="shared" ref="S4:S67" si="9">IF(SUM(Q4,R4)&lt;&gt;0, SUM(Q4,R4), "")</f>
        <v/>
      </c>
      <c r="T4" s="57" t="str" cm="1">
        <f t="array" ref="T4">IF(S4&lt;&gt;"", ToGrade(S4), "")</f>
        <v/>
      </c>
      <c r="U4" s="58" t="str">
        <f>SCIENCE!L6</f>
        <v/>
      </c>
      <c r="V4" s="59" t="str" cm="1">
        <f t="array" ref="V4">IF(S4&lt;&gt;"", ToRemark(S4), "")</f>
        <v/>
      </c>
      <c r="W4" s="60"/>
      <c r="X4" s="57" t="str">
        <f>IFERROR(ROUND(OWOP!H6,0), "")</f>
        <v/>
      </c>
      <c r="Y4" s="57" t="str">
        <f>IFERROR(ROUND(OWOP!J6,0), "")</f>
        <v/>
      </c>
      <c r="Z4" s="56" t="str">
        <f t="shared" ref="Z4:Z67" si="10">IF(SUM(X4,Y4)&lt;&gt;0, SUM(X4,Y4), "")</f>
        <v/>
      </c>
      <c r="AA4" s="57" t="str" cm="1">
        <f t="array" ref="AA4">IF(Z4&lt;&gt;"", ToGrade(Z4), "")</f>
        <v/>
      </c>
      <c r="AB4" s="58" t="str">
        <f>OWOP!L6</f>
        <v/>
      </c>
      <c r="AC4" s="59" t="str" cm="1">
        <f t="array" ref="AC4">IF(Z4&lt;&gt;"", ToRemark(Z4), "")</f>
        <v/>
      </c>
      <c r="AD4" s="60"/>
      <c r="AE4" s="57" t="str">
        <f>IFERROR(ROUND('C ARTS'!H6,0), "")</f>
        <v/>
      </c>
      <c r="AF4" s="57" t="str">
        <f>IFERROR(ROUND('C ARTS'!J6,0), "")</f>
        <v/>
      </c>
      <c r="AG4" s="56" t="str">
        <f t="shared" ref="AG4:AG67" si="11">IF(SUM(AE4,AF4)&lt;&gt;0, SUM(AE4,AF4), "")</f>
        <v/>
      </c>
      <c r="AH4" s="57" t="str" cm="1">
        <f t="array" ref="AH4">IF(AG4&lt;&gt;"", ToGrade(AG4), "")</f>
        <v/>
      </c>
      <c r="AI4" s="58" t="str">
        <f>'C ARTS'!L6</f>
        <v/>
      </c>
      <c r="AJ4" s="59" t="str" cm="1">
        <f t="array" ref="AJ4">IF(AG4&lt;&gt;"", ToRemark(AG4), "")</f>
        <v/>
      </c>
      <c r="AK4" s="60"/>
      <c r="AL4" s="57" t="str">
        <f>IFERROR(ROUND('GH LANG'!H6,0), "")</f>
        <v/>
      </c>
      <c r="AM4" s="57" t="str">
        <f>IFERROR(ROUND('GH LANG'!J6,0), "")</f>
        <v/>
      </c>
      <c r="AN4" s="61" t="str">
        <f t="shared" ref="AN4:AN67" si="12">IF(SUM(AL4,AM4)&lt;&gt;0, SUM(AL4,AM4), "")</f>
        <v/>
      </c>
      <c r="AO4" s="57" t="str" cm="1">
        <f t="array" ref="AO4">IF(AN4&lt;&gt;"", ToGrade(AN4), "")</f>
        <v/>
      </c>
      <c r="AP4" s="58" t="str">
        <f>'GH LANG'!L6</f>
        <v/>
      </c>
      <c r="AQ4" s="59" t="str" cm="1">
        <f t="array" ref="AQ4">IF(AN4&lt;&gt;"", ToRemark(AN4), "")</f>
        <v/>
      </c>
      <c r="AR4" s="60"/>
      <c r="AS4" s="57" t="str">
        <f>IFERROR(ROUND(COMPUTING!H6,0), "")</f>
        <v/>
      </c>
      <c r="AT4" s="57" t="str">
        <f>IFERROR(ROUND(COMPUTING!J6,0), "")</f>
        <v/>
      </c>
      <c r="AU4" s="56" t="str">
        <f t="shared" ref="AU4:AU67" si="13">IF(SUM(AS4,AT4)&lt;&gt;0, SUM(AS4,AT4), "")</f>
        <v/>
      </c>
      <c r="AV4" s="57" t="str" cm="1">
        <f t="array" ref="AV4">IF(AU4&lt;&gt;"", ToGrade(AU4), "")</f>
        <v/>
      </c>
      <c r="AW4" s="58" t="str">
        <f>COMPUTING!L6</f>
        <v/>
      </c>
      <c r="AX4" s="59" t="str" cm="1">
        <f t="array" ref="AX4">IF(AU4&lt;&gt;"", ToRemark(AU4), "")</f>
        <v/>
      </c>
      <c r="AY4" s="62"/>
      <c r="AZ4" s="57" t="str">
        <f>IFERROR(ROUND(HISTERY!H6,0), "")</f>
        <v/>
      </c>
      <c r="BA4" s="57" t="str">
        <f>IFERROR(ROUND(HISTERY!J6,0), "")</f>
        <v/>
      </c>
      <c r="BB4" s="56" t="str">
        <f t="shared" ref="BB4:BB67" si="14">IF(SUM(AZ4,BA4)&lt;&gt;0, SUM(AZ4,BA4), "")</f>
        <v/>
      </c>
      <c r="BC4" s="57" t="str" cm="1">
        <f t="array" ref="BC4">IF(BB4&lt;&gt;"", ToGrade(BB4), "")</f>
        <v/>
      </c>
      <c r="BD4" s="58" t="str">
        <f>HISTERY!L6</f>
        <v/>
      </c>
      <c r="BE4" s="59" t="str" cm="1">
        <f t="array" ref="BE4">IF(BB4&lt;&gt;"", ToRemark(BB4), "")</f>
        <v/>
      </c>
      <c r="BF4" s="60"/>
      <c r="BG4" s="57" t="str">
        <f>IFERROR(ROUND(RME!H6,0), "")</f>
        <v/>
      </c>
      <c r="BH4" s="57" t="str">
        <f>IFERROR(ROUND(RME!J6,0), "")</f>
        <v/>
      </c>
      <c r="BI4" s="56" t="str">
        <f t="shared" ref="BI4:BI67" si="15">IF(SUM(BG4,BH4)&lt;&gt;0, SUM(BG4,BH4), "")</f>
        <v/>
      </c>
      <c r="BJ4" s="57" t="str" cm="1">
        <f t="array" ref="BJ4">IF(BI4&lt;&gt;"", ToGrade(BI4), "")</f>
        <v/>
      </c>
      <c r="BK4" s="58" t="str">
        <f>RME!L6</f>
        <v/>
      </c>
      <c r="BL4" s="59" t="str" cm="1">
        <f t="array" ref="BL4">IF(BI4&lt;&gt;"", ToRemark(BI4), "")</f>
        <v/>
      </c>
      <c r="BM4" s="74"/>
      <c r="BN4" s="97" t="str">
        <f t="shared" ref="BN4:BN67" si="16">IF(B4&lt;&gt;"", SUM(E4,L4,S4,Z4,AG4,AN4,AU4,BB4,BI4), "")</f>
        <v/>
      </c>
      <c r="BO4" s="106" t="str">
        <f t="shared" ref="BO4:BO67" si="17">IFERROR(IF(BM4&lt;&gt;0, BN4/10, BN4/9), "")</f>
        <v/>
      </c>
      <c r="BP4" s="98" t="str" cm="1">
        <f t="array" ref="BP4">IFERROR(OrdinalNumber(_xlfn.RANK.EQ(BN4,$BN$3:$BN$101)), "")</f>
        <v/>
      </c>
      <c r="BQ4" s="104"/>
      <c r="BR4" s="99"/>
      <c r="BS4" s="111"/>
      <c r="BT4" s="83" t="str" cm="1">
        <f t="array" ref="BT4">IF(LEN(B4)&lt;&gt;0, GetTeacherRemark(BO4), "")</f>
        <v/>
      </c>
      <c r="BU4" s="86" t="str">
        <f t="shared" si="0"/>
        <v/>
      </c>
      <c r="BV4" s="86" t="str">
        <f t="shared" si="1"/>
        <v/>
      </c>
      <c r="BW4" s="86" t="str">
        <f t="shared" si="2"/>
        <v/>
      </c>
      <c r="BX4" s="86" t="str">
        <f t="shared" si="3"/>
        <v/>
      </c>
      <c r="BY4" s="115" t="str">
        <f t="shared" si="4"/>
        <v/>
      </c>
      <c r="BZ4" s="87" t="str">
        <f t="shared" si="5"/>
        <v/>
      </c>
      <c r="CA4" s="86" t="str">
        <f t="shared" si="6"/>
        <v/>
      </c>
      <c r="CB4" s="85"/>
    </row>
    <row r="5" spans="1:85" x14ac:dyDescent="0.25">
      <c r="A5" s="53" t="str">
        <v>3</v>
      </c>
      <c r="B5" s="54" t="str">
        <v/>
      </c>
      <c r="C5" s="55" t="str">
        <f>IFERROR(ROUND(ENGLISH!H7,0), "")</f>
        <v/>
      </c>
      <c r="D5" s="55" t="str">
        <f>IFERROR(ROUND(ENGLISH!J7,0), "")</f>
        <v/>
      </c>
      <c r="E5" s="56" t="str">
        <f t="shared" si="7"/>
        <v/>
      </c>
      <c r="F5" s="57" t="str" cm="1">
        <f t="array" ref="F5">IF(E5&lt;&gt;"", ToGrade(E5), "")</f>
        <v/>
      </c>
      <c r="G5" s="58" t="str">
        <f>ENGLISH!L7</f>
        <v/>
      </c>
      <c r="H5" s="59" t="str" cm="1">
        <f t="array" ref="H5">IF(E5&lt;&gt;"", ToRemark(E5), "")</f>
        <v/>
      </c>
      <c r="I5" s="60"/>
      <c r="J5" s="55" t="str">
        <f>IFERROR(ROUND(MATHS!H7,0), "")</f>
        <v/>
      </c>
      <c r="K5" s="55" t="str">
        <f>IFERROR(ROUND(MATHS!J7,0), "")</f>
        <v/>
      </c>
      <c r="L5" s="56" t="str">
        <f t="shared" si="8"/>
        <v/>
      </c>
      <c r="M5" s="57" t="str" cm="1">
        <f t="array" ref="M5">IF(L5&lt;&gt;"", ToGrade(L5), "")</f>
        <v/>
      </c>
      <c r="N5" s="58" t="str">
        <f>MATHS!L7</f>
        <v/>
      </c>
      <c r="O5" s="59" t="str" cm="1">
        <f t="array" ref="O5">IF(L5&lt;&gt;"", ToRemark(L5), "")</f>
        <v/>
      </c>
      <c r="P5" s="60"/>
      <c r="Q5" s="57" t="str">
        <f>IFERROR(ROUND(SCIENCE!H7,0), "")</f>
        <v/>
      </c>
      <c r="R5" s="57" t="str">
        <f>IFERROR(ROUND(SCIENCE!J7,0), "")</f>
        <v/>
      </c>
      <c r="S5" s="56" t="str">
        <f t="shared" si="9"/>
        <v/>
      </c>
      <c r="T5" s="57" t="str" cm="1">
        <f t="array" ref="T5">IF(S5&lt;&gt;"", ToGrade(S5), "")</f>
        <v/>
      </c>
      <c r="U5" s="58" t="str">
        <f>SCIENCE!L7</f>
        <v/>
      </c>
      <c r="V5" s="59" t="str" cm="1">
        <f t="array" ref="V5">IF(S5&lt;&gt;"", ToRemark(S5), "")</f>
        <v/>
      </c>
      <c r="W5" s="60"/>
      <c r="X5" s="57" t="str">
        <f>IFERROR(ROUND(OWOP!H7,0), "")</f>
        <v/>
      </c>
      <c r="Y5" s="57" t="str">
        <f>IFERROR(ROUND(OWOP!J7,0), "")</f>
        <v/>
      </c>
      <c r="Z5" s="56" t="str">
        <f t="shared" si="10"/>
        <v/>
      </c>
      <c r="AA5" s="57" t="str" cm="1">
        <f t="array" ref="AA5">IF(Z5&lt;&gt;"", ToGrade(Z5), "")</f>
        <v/>
      </c>
      <c r="AB5" s="58" t="str">
        <f>OWOP!L7</f>
        <v/>
      </c>
      <c r="AC5" s="59" t="str" cm="1">
        <f t="array" ref="AC5">IF(Z5&lt;&gt;"", ToRemark(Z5), "")</f>
        <v/>
      </c>
      <c r="AD5" s="60"/>
      <c r="AE5" s="57" t="str">
        <f>IFERROR(ROUND('C ARTS'!H7,0), "")</f>
        <v/>
      </c>
      <c r="AF5" s="57" t="str">
        <f>IFERROR(ROUND('C ARTS'!J7,0), "")</f>
        <v/>
      </c>
      <c r="AG5" s="56" t="str">
        <f t="shared" si="11"/>
        <v/>
      </c>
      <c r="AH5" s="57" t="str" cm="1">
        <f t="array" ref="AH5">IF(AG5&lt;&gt;"", ToGrade(AG5), "")</f>
        <v/>
      </c>
      <c r="AI5" s="58" t="str">
        <f>'C ARTS'!L7</f>
        <v/>
      </c>
      <c r="AJ5" s="59" t="str" cm="1">
        <f t="array" ref="AJ5">IF(AG5&lt;&gt;"", ToRemark(AG5), "")</f>
        <v/>
      </c>
      <c r="AK5" s="60"/>
      <c r="AL5" s="57" t="str">
        <f>IFERROR(ROUND('GH LANG'!H7,0), "")</f>
        <v/>
      </c>
      <c r="AM5" s="57" t="str">
        <f>IFERROR(ROUND('GH LANG'!J7,0), "")</f>
        <v/>
      </c>
      <c r="AN5" s="61" t="str">
        <f t="shared" si="12"/>
        <v/>
      </c>
      <c r="AO5" s="57" t="str" cm="1">
        <f t="array" ref="AO5">IF(AN5&lt;&gt;"", ToGrade(AN5), "")</f>
        <v/>
      </c>
      <c r="AP5" s="58" t="str">
        <f>'GH LANG'!L7</f>
        <v/>
      </c>
      <c r="AQ5" s="59" t="str" cm="1">
        <f t="array" ref="AQ5">IF(AN5&lt;&gt;"", ToRemark(AN5), "")</f>
        <v/>
      </c>
      <c r="AR5" s="60"/>
      <c r="AS5" s="57" t="str">
        <f>IFERROR(ROUND(COMPUTING!H7,0), "")</f>
        <v/>
      </c>
      <c r="AT5" s="57" t="str">
        <f>IFERROR(ROUND(COMPUTING!J7,0), "")</f>
        <v/>
      </c>
      <c r="AU5" s="56" t="str">
        <f t="shared" si="13"/>
        <v/>
      </c>
      <c r="AV5" s="57" t="str" cm="1">
        <f t="array" ref="AV5">IF(AU5&lt;&gt;"", ToGrade(AU5), "")</f>
        <v/>
      </c>
      <c r="AW5" s="58" t="str">
        <f>COMPUTING!L7</f>
        <v/>
      </c>
      <c r="AX5" s="59" t="str" cm="1">
        <f t="array" ref="AX5">IF(AU5&lt;&gt;"", ToRemark(AU5), "")</f>
        <v/>
      </c>
      <c r="AY5" s="62"/>
      <c r="AZ5" s="57" t="str">
        <f>IFERROR(ROUND(HISTERY!H7,0), "")</f>
        <v/>
      </c>
      <c r="BA5" s="57" t="str">
        <f>IFERROR(ROUND(HISTERY!J7,0), "")</f>
        <v/>
      </c>
      <c r="BB5" s="56" t="str">
        <f t="shared" si="14"/>
        <v/>
      </c>
      <c r="BC5" s="57" t="str" cm="1">
        <f t="array" ref="BC5">IF(BB5&lt;&gt;"", ToGrade(BB5), "")</f>
        <v/>
      </c>
      <c r="BD5" s="58" t="str">
        <f>HISTERY!L7</f>
        <v/>
      </c>
      <c r="BE5" s="59" t="str" cm="1">
        <f t="array" ref="BE5">IF(BB5&lt;&gt;"", ToRemark(BB5), "")</f>
        <v/>
      </c>
      <c r="BF5" s="60"/>
      <c r="BG5" s="57" t="str">
        <f>IFERROR(ROUND(RME!H7,0), "")</f>
        <v/>
      </c>
      <c r="BH5" s="57" t="str">
        <f>IFERROR(ROUND(RME!J7,0), "")</f>
        <v/>
      </c>
      <c r="BI5" s="56" t="str">
        <f t="shared" si="15"/>
        <v/>
      </c>
      <c r="BJ5" s="57" t="str" cm="1">
        <f t="array" ref="BJ5">IF(BI5&lt;&gt;"", ToGrade(BI5), "")</f>
        <v/>
      </c>
      <c r="BK5" s="58" t="str">
        <f>RME!L7</f>
        <v/>
      </c>
      <c r="BL5" s="59" t="str" cm="1">
        <f t="array" ref="BL5">IF(BI5&lt;&gt;"", ToRemark(BI5), "")</f>
        <v/>
      </c>
      <c r="BM5" s="74"/>
      <c r="BN5" s="97" t="str">
        <f t="shared" si="16"/>
        <v/>
      </c>
      <c r="BO5" s="106" t="str">
        <f t="shared" si="17"/>
        <v/>
      </c>
      <c r="BP5" s="98" t="str" cm="1">
        <f t="array" ref="BP5">IFERROR(OrdinalNumber(_xlfn.RANK.EQ(BN5,$BN$3:$BN$101)), "")</f>
        <v/>
      </c>
      <c r="BQ5" s="104"/>
      <c r="BR5" s="99"/>
      <c r="BS5" s="111"/>
      <c r="BT5" s="83" t="str" cm="1">
        <f t="array" ref="BT5">IF(LEN(B5)&lt;&gt;0, GetTeacherRemark(BO5), "")</f>
        <v/>
      </c>
      <c r="BU5" s="86" t="str">
        <f t="shared" si="0"/>
        <v/>
      </c>
      <c r="BV5" s="86" t="str">
        <f t="shared" si="1"/>
        <v/>
      </c>
      <c r="BW5" s="86" t="str">
        <f t="shared" si="2"/>
        <v/>
      </c>
      <c r="BX5" s="86" t="str">
        <f t="shared" si="3"/>
        <v/>
      </c>
      <c r="BY5" s="115" t="str">
        <f t="shared" si="4"/>
        <v/>
      </c>
      <c r="BZ5" s="87" t="str">
        <f t="shared" si="5"/>
        <v/>
      </c>
      <c r="CA5" s="86" t="str">
        <f t="shared" si="6"/>
        <v/>
      </c>
      <c r="CB5" s="85"/>
    </row>
    <row r="6" spans="1:85" x14ac:dyDescent="0.25">
      <c r="A6" s="53" t="str">
        <v>4</v>
      </c>
      <c r="B6" s="54" t="str">
        <v/>
      </c>
      <c r="C6" s="55" t="str">
        <f>IFERROR(ROUND(ENGLISH!H8,0), "")</f>
        <v/>
      </c>
      <c r="D6" s="55" t="str">
        <f>IFERROR(ROUND(ENGLISH!J8,0), "")</f>
        <v/>
      </c>
      <c r="E6" s="56" t="str">
        <f t="shared" si="7"/>
        <v/>
      </c>
      <c r="F6" s="57" t="str" cm="1">
        <f t="array" ref="F6">IF(E6&lt;&gt;"", ToGrade(E6), "")</f>
        <v/>
      </c>
      <c r="G6" s="58" t="str">
        <f>ENGLISH!L8</f>
        <v/>
      </c>
      <c r="H6" s="59" t="str" cm="1">
        <f t="array" ref="H6">IF(E6&lt;&gt;"", ToRemark(E6), "")</f>
        <v/>
      </c>
      <c r="I6" s="60"/>
      <c r="J6" s="55" t="str">
        <f>IFERROR(ROUND(MATHS!H8,0), "")</f>
        <v/>
      </c>
      <c r="K6" s="55" t="str">
        <f>IFERROR(ROUND(MATHS!J8,0), "")</f>
        <v/>
      </c>
      <c r="L6" s="56" t="str">
        <f t="shared" si="8"/>
        <v/>
      </c>
      <c r="M6" s="57" t="str" cm="1">
        <f t="array" ref="M6">IF(L6&lt;&gt;"", ToGrade(L6), "")</f>
        <v/>
      </c>
      <c r="N6" s="58" t="str">
        <f>MATHS!L8</f>
        <v/>
      </c>
      <c r="O6" s="59" t="str" cm="1">
        <f t="array" ref="O6">IF(L6&lt;&gt;"", ToRemark(L6), "")</f>
        <v/>
      </c>
      <c r="P6" s="60"/>
      <c r="Q6" s="57" t="str">
        <f>IFERROR(ROUND(SCIENCE!H8,0), "")</f>
        <v/>
      </c>
      <c r="R6" s="57" t="str">
        <f>IFERROR(ROUND(SCIENCE!J8,0), "")</f>
        <v/>
      </c>
      <c r="S6" s="56" t="str">
        <f t="shared" si="9"/>
        <v/>
      </c>
      <c r="T6" s="57" t="str" cm="1">
        <f t="array" ref="T6">IF(S6&lt;&gt;"", ToGrade(S6), "")</f>
        <v/>
      </c>
      <c r="U6" s="58" t="str">
        <f>SCIENCE!L8</f>
        <v/>
      </c>
      <c r="V6" s="59" t="str" cm="1">
        <f t="array" ref="V6">IF(S6&lt;&gt;"", ToRemark(S6), "")</f>
        <v/>
      </c>
      <c r="W6" s="60"/>
      <c r="X6" s="57" t="str">
        <f>IFERROR(ROUND(OWOP!H8,0), "")</f>
        <v/>
      </c>
      <c r="Y6" s="57" t="str">
        <f>IFERROR(ROUND(OWOP!J8,0), "")</f>
        <v/>
      </c>
      <c r="Z6" s="56" t="str">
        <f t="shared" si="10"/>
        <v/>
      </c>
      <c r="AA6" s="57" t="str" cm="1">
        <f t="array" ref="AA6">IF(Z6&lt;&gt;"", ToGrade(Z6), "")</f>
        <v/>
      </c>
      <c r="AB6" s="58" t="str">
        <f>OWOP!L8</f>
        <v/>
      </c>
      <c r="AC6" s="59" t="str" cm="1">
        <f t="array" ref="AC6">IF(Z6&lt;&gt;"", ToRemark(Z6), "")</f>
        <v/>
      </c>
      <c r="AD6" s="60"/>
      <c r="AE6" s="57" t="str">
        <f>IFERROR(ROUND('C ARTS'!H8,0), "")</f>
        <v/>
      </c>
      <c r="AF6" s="57" t="str">
        <f>IFERROR(ROUND('C ARTS'!J8,0), "")</f>
        <v/>
      </c>
      <c r="AG6" s="56" t="str">
        <f t="shared" si="11"/>
        <v/>
      </c>
      <c r="AH6" s="57" t="str" cm="1">
        <f t="array" ref="AH6">IF(AG6&lt;&gt;"", ToGrade(AG6), "")</f>
        <v/>
      </c>
      <c r="AI6" s="58" t="str">
        <f>'C ARTS'!L8</f>
        <v/>
      </c>
      <c r="AJ6" s="59" t="str" cm="1">
        <f t="array" ref="AJ6">IF(AG6&lt;&gt;"", ToRemark(AG6), "")</f>
        <v/>
      </c>
      <c r="AK6" s="60"/>
      <c r="AL6" s="57" t="str">
        <f>IFERROR(ROUND('GH LANG'!H8,0), "")</f>
        <v/>
      </c>
      <c r="AM6" s="57" t="str">
        <f>IFERROR(ROUND('GH LANG'!J8,0), "")</f>
        <v/>
      </c>
      <c r="AN6" s="61" t="str">
        <f t="shared" si="12"/>
        <v/>
      </c>
      <c r="AO6" s="57" t="str" cm="1">
        <f t="array" ref="AO6">IF(AN6&lt;&gt;"", ToGrade(AN6), "")</f>
        <v/>
      </c>
      <c r="AP6" s="58" t="str">
        <f>'GH LANG'!L8</f>
        <v/>
      </c>
      <c r="AQ6" s="59" t="str" cm="1">
        <f t="array" ref="AQ6">IF(AN6&lt;&gt;"", ToRemark(AN6), "")</f>
        <v/>
      </c>
      <c r="AR6" s="60"/>
      <c r="AS6" s="57" t="str">
        <f>IFERROR(ROUND(COMPUTING!H8,0), "")</f>
        <v/>
      </c>
      <c r="AT6" s="57" t="str">
        <f>IFERROR(ROUND(COMPUTING!J8,0), "")</f>
        <v/>
      </c>
      <c r="AU6" s="56" t="str">
        <f t="shared" si="13"/>
        <v/>
      </c>
      <c r="AV6" s="57" t="str" cm="1">
        <f t="array" ref="AV6">IF(AU6&lt;&gt;"", ToGrade(AU6), "")</f>
        <v/>
      </c>
      <c r="AW6" s="58" t="str">
        <f>COMPUTING!L8</f>
        <v/>
      </c>
      <c r="AX6" s="59" t="str" cm="1">
        <f t="array" ref="AX6">IF(AU6&lt;&gt;"", ToRemark(AU6), "")</f>
        <v/>
      </c>
      <c r="AY6" s="62"/>
      <c r="AZ6" s="57" t="str">
        <f>IFERROR(ROUND(HISTERY!H8,0), "")</f>
        <v/>
      </c>
      <c r="BA6" s="57" t="str">
        <f>IFERROR(ROUND(HISTERY!J8,0), "")</f>
        <v/>
      </c>
      <c r="BB6" s="56" t="str">
        <f t="shared" si="14"/>
        <v/>
      </c>
      <c r="BC6" s="57" t="str" cm="1">
        <f t="array" ref="BC6">IF(BB6&lt;&gt;"", ToGrade(BB6), "")</f>
        <v/>
      </c>
      <c r="BD6" s="58" t="str">
        <f>HISTERY!L8</f>
        <v/>
      </c>
      <c r="BE6" s="59" t="str" cm="1">
        <f t="array" ref="BE6">IF(BB6&lt;&gt;"", ToRemark(BB6), "")</f>
        <v/>
      </c>
      <c r="BF6" s="60"/>
      <c r="BG6" s="57" t="str">
        <f>IFERROR(ROUND(RME!H8,0), "")</f>
        <v/>
      </c>
      <c r="BH6" s="57" t="str">
        <f>IFERROR(ROUND(RME!J8,0), "")</f>
        <v/>
      </c>
      <c r="BI6" s="56" t="str">
        <f t="shared" si="15"/>
        <v/>
      </c>
      <c r="BJ6" s="57" t="str" cm="1">
        <f t="array" ref="BJ6">IF(BI6&lt;&gt;"", ToGrade(BI6), "")</f>
        <v/>
      </c>
      <c r="BK6" s="58" t="str">
        <f>RME!L8</f>
        <v/>
      </c>
      <c r="BL6" s="59" t="str" cm="1">
        <f t="array" ref="BL6">IF(BI6&lt;&gt;"", ToRemark(BI6), "")</f>
        <v/>
      </c>
      <c r="BM6" s="74"/>
      <c r="BN6" s="97" t="str">
        <f t="shared" si="16"/>
        <v/>
      </c>
      <c r="BO6" s="106" t="str">
        <f t="shared" si="17"/>
        <v/>
      </c>
      <c r="BP6" s="98" t="str" cm="1">
        <f t="array" ref="BP6">IFERROR(OrdinalNumber(_xlfn.RANK.EQ(BN6,$BN$3:$BN$101)), "")</f>
        <v/>
      </c>
      <c r="BQ6" s="104"/>
      <c r="BR6" s="99"/>
      <c r="BS6" s="111"/>
      <c r="BT6" s="83" t="str" cm="1">
        <f t="array" ref="BT6">IF(LEN(B6)&lt;&gt;0, GetTeacherRemark(BO6), "")</f>
        <v/>
      </c>
      <c r="BU6" s="86" t="str">
        <f t="shared" si="0"/>
        <v/>
      </c>
      <c r="BV6" s="86" t="str">
        <f t="shared" si="1"/>
        <v/>
      </c>
      <c r="BW6" s="86" t="str">
        <f t="shared" si="2"/>
        <v/>
      </c>
      <c r="BX6" s="86" t="str">
        <f t="shared" si="3"/>
        <v/>
      </c>
      <c r="BY6" s="115" t="str">
        <f t="shared" si="4"/>
        <v/>
      </c>
      <c r="BZ6" s="87" t="str">
        <f t="shared" si="5"/>
        <v/>
      </c>
      <c r="CA6" s="86" t="str">
        <f t="shared" si="6"/>
        <v/>
      </c>
      <c r="CB6" s="85"/>
    </row>
    <row r="7" spans="1:85" x14ac:dyDescent="0.25">
      <c r="A7" s="53" t="str">
        <v>5</v>
      </c>
      <c r="B7" s="54" t="str">
        <v/>
      </c>
      <c r="C7" s="55" t="str">
        <f>IFERROR(ROUND(ENGLISH!H9,0), "")</f>
        <v/>
      </c>
      <c r="D7" s="55" t="str">
        <f>IFERROR(ROUND(ENGLISH!J9,0), "")</f>
        <v/>
      </c>
      <c r="E7" s="56" t="str">
        <f t="shared" si="7"/>
        <v/>
      </c>
      <c r="F7" s="57" t="str" cm="1">
        <f t="array" ref="F7">IF(E7&lt;&gt;"", ToGrade(E7), "")</f>
        <v/>
      </c>
      <c r="G7" s="58" t="str">
        <f>ENGLISH!L9</f>
        <v/>
      </c>
      <c r="H7" s="59" t="str" cm="1">
        <f t="array" ref="H7">IF(E7&lt;&gt;"", ToRemark(E7), "")</f>
        <v/>
      </c>
      <c r="I7" s="60"/>
      <c r="J7" s="55" t="str">
        <f>IFERROR(ROUND(MATHS!H9,0), "")</f>
        <v/>
      </c>
      <c r="K7" s="55" t="str">
        <f>IFERROR(ROUND(MATHS!J9,0), "")</f>
        <v/>
      </c>
      <c r="L7" s="56" t="str">
        <f t="shared" si="8"/>
        <v/>
      </c>
      <c r="M7" s="57" t="str" cm="1">
        <f t="array" ref="M7">IF(L7&lt;&gt;"", ToGrade(L7), "")</f>
        <v/>
      </c>
      <c r="N7" s="58" t="str">
        <f>MATHS!L9</f>
        <v/>
      </c>
      <c r="O7" s="59" t="str" cm="1">
        <f t="array" ref="O7">IF(L7&lt;&gt;"", ToRemark(L7), "")</f>
        <v/>
      </c>
      <c r="P7" s="60"/>
      <c r="Q7" s="57" t="str">
        <f>IFERROR(ROUND(SCIENCE!H9,0), "")</f>
        <v/>
      </c>
      <c r="R7" s="57" t="str">
        <f>IFERROR(ROUND(SCIENCE!J9,0), "")</f>
        <v/>
      </c>
      <c r="S7" s="56" t="str">
        <f t="shared" si="9"/>
        <v/>
      </c>
      <c r="T7" s="57" t="str" cm="1">
        <f t="array" ref="T7">IF(S7&lt;&gt;"", ToGrade(S7), "")</f>
        <v/>
      </c>
      <c r="U7" s="58" t="str">
        <f>SCIENCE!L9</f>
        <v/>
      </c>
      <c r="V7" s="59" t="str" cm="1">
        <f t="array" ref="V7">IF(S7&lt;&gt;"", ToRemark(S7), "")</f>
        <v/>
      </c>
      <c r="W7" s="60"/>
      <c r="X7" s="57" t="str">
        <f>IFERROR(ROUND(OWOP!H9,0), "")</f>
        <v/>
      </c>
      <c r="Y7" s="57" t="str">
        <f>IFERROR(ROUND(OWOP!J9,0), "")</f>
        <v/>
      </c>
      <c r="Z7" s="56" t="str">
        <f t="shared" si="10"/>
        <v/>
      </c>
      <c r="AA7" s="57" t="str" cm="1">
        <f t="array" ref="AA7">IF(Z7&lt;&gt;"", ToGrade(Z7), "")</f>
        <v/>
      </c>
      <c r="AB7" s="58" t="str">
        <f>OWOP!L9</f>
        <v/>
      </c>
      <c r="AC7" s="59" t="str" cm="1">
        <f t="array" ref="AC7">IF(Z7&lt;&gt;"", ToRemark(Z7), "")</f>
        <v/>
      </c>
      <c r="AD7" s="60"/>
      <c r="AE7" s="57" t="str">
        <f>IFERROR(ROUND('C ARTS'!H9,0), "")</f>
        <v/>
      </c>
      <c r="AF7" s="57" t="str">
        <f>IFERROR(ROUND('C ARTS'!J9,0), "")</f>
        <v/>
      </c>
      <c r="AG7" s="56" t="str">
        <f t="shared" si="11"/>
        <v/>
      </c>
      <c r="AH7" s="57" t="str" cm="1">
        <f t="array" ref="AH7">IF(AG7&lt;&gt;"", ToGrade(AG7), "")</f>
        <v/>
      </c>
      <c r="AI7" s="58" t="str">
        <f>'C ARTS'!L9</f>
        <v/>
      </c>
      <c r="AJ7" s="59" t="str" cm="1">
        <f t="array" ref="AJ7">IF(AG7&lt;&gt;"", ToRemark(AG7), "")</f>
        <v/>
      </c>
      <c r="AK7" s="60"/>
      <c r="AL7" s="57" t="str">
        <f>IFERROR(ROUND('GH LANG'!H9,0), "")</f>
        <v/>
      </c>
      <c r="AM7" s="57" t="str">
        <f>IFERROR(ROUND('GH LANG'!J9,0), "")</f>
        <v/>
      </c>
      <c r="AN7" s="61" t="str">
        <f t="shared" si="12"/>
        <v/>
      </c>
      <c r="AO7" s="57" t="str" cm="1">
        <f t="array" ref="AO7">IF(AN7&lt;&gt;"", ToGrade(AN7), "")</f>
        <v/>
      </c>
      <c r="AP7" s="58" t="str">
        <f>'GH LANG'!L9</f>
        <v/>
      </c>
      <c r="AQ7" s="59" t="str" cm="1">
        <f t="array" ref="AQ7">IF(AN7&lt;&gt;"", ToRemark(AN7), "")</f>
        <v/>
      </c>
      <c r="AR7" s="60"/>
      <c r="AS7" s="57" t="str">
        <f>IFERROR(ROUND(COMPUTING!H9,0), "")</f>
        <v/>
      </c>
      <c r="AT7" s="57" t="str">
        <f>IFERROR(ROUND(COMPUTING!J9,0), "")</f>
        <v/>
      </c>
      <c r="AU7" s="56" t="str">
        <f t="shared" si="13"/>
        <v/>
      </c>
      <c r="AV7" s="57" t="str" cm="1">
        <f t="array" ref="AV7">IF(AU7&lt;&gt;"", ToGrade(AU7), "")</f>
        <v/>
      </c>
      <c r="AW7" s="58" t="str">
        <f>COMPUTING!L9</f>
        <v/>
      </c>
      <c r="AX7" s="59" t="str" cm="1">
        <f t="array" ref="AX7">IF(AU7&lt;&gt;"", ToRemark(AU7), "")</f>
        <v/>
      </c>
      <c r="AY7" s="62"/>
      <c r="AZ7" s="57" t="str">
        <f>IFERROR(ROUND(HISTERY!H9,0), "")</f>
        <v/>
      </c>
      <c r="BA7" s="57" t="str">
        <f>IFERROR(ROUND(HISTERY!J9,0), "")</f>
        <v/>
      </c>
      <c r="BB7" s="56" t="str">
        <f t="shared" si="14"/>
        <v/>
      </c>
      <c r="BC7" s="57" t="str" cm="1">
        <f t="array" ref="BC7">IF(BB7&lt;&gt;"", ToGrade(BB7), "")</f>
        <v/>
      </c>
      <c r="BD7" s="58" t="str">
        <f>HISTERY!L9</f>
        <v/>
      </c>
      <c r="BE7" s="59" t="str" cm="1">
        <f t="array" ref="BE7">IF(BB7&lt;&gt;"", ToRemark(BB7), "")</f>
        <v/>
      </c>
      <c r="BF7" s="60"/>
      <c r="BG7" s="57" t="str">
        <f>IFERROR(ROUND(RME!H9,0), "")</f>
        <v/>
      </c>
      <c r="BH7" s="57" t="str">
        <f>IFERROR(ROUND(RME!J9,0), "")</f>
        <v/>
      </c>
      <c r="BI7" s="56" t="str">
        <f t="shared" si="15"/>
        <v/>
      </c>
      <c r="BJ7" s="57" t="str" cm="1">
        <f t="array" ref="BJ7">IF(BI7&lt;&gt;"", ToGrade(BI7), "")</f>
        <v/>
      </c>
      <c r="BK7" s="58" t="str">
        <f>RME!L9</f>
        <v/>
      </c>
      <c r="BL7" s="59" t="str" cm="1">
        <f t="array" ref="BL7">IF(BI7&lt;&gt;"", ToRemark(BI7), "")</f>
        <v/>
      </c>
      <c r="BM7" s="74"/>
      <c r="BN7" s="97" t="str">
        <f t="shared" si="16"/>
        <v/>
      </c>
      <c r="BO7" s="106" t="str">
        <f t="shared" si="17"/>
        <v/>
      </c>
      <c r="BP7" s="98" t="str" cm="1">
        <f t="array" ref="BP7">IFERROR(OrdinalNumber(_xlfn.RANK.EQ(BN7,$BN$3:$BN$101)), "")</f>
        <v/>
      </c>
      <c r="BQ7" s="104"/>
      <c r="BR7" s="99"/>
      <c r="BS7" s="111"/>
      <c r="BT7" s="83" t="str" cm="1">
        <f t="array" ref="BT7">IF(LEN(B7)&lt;&gt;0, GetTeacherRemark(BO7), "")</f>
        <v/>
      </c>
      <c r="BU7" s="86" t="str">
        <f t="shared" si="0"/>
        <v/>
      </c>
      <c r="BV7" s="86" t="str">
        <f t="shared" si="1"/>
        <v/>
      </c>
      <c r="BW7" s="86" t="str">
        <f t="shared" si="2"/>
        <v/>
      </c>
      <c r="BX7" s="86" t="str">
        <f t="shared" si="3"/>
        <v/>
      </c>
      <c r="BY7" s="115" t="str">
        <f t="shared" si="4"/>
        <v/>
      </c>
      <c r="BZ7" s="87" t="str">
        <f t="shared" si="5"/>
        <v/>
      </c>
      <c r="CA7" s="86" t="str">
        <f t="shared" si="6"/>
        <v/>
      </c>
      <c r="CB7" s="85"/>
    </row>
    <row r="8" spans="1:85" x14ac:dyDescent="0.25">
      <c r="A8" s="53" t="str">
        <v>6</v>
      </c>
      <c r="B8" s="54" t="str">
        <v/>
      </c>
      <c r="C8" s="55" t="str">
        <f>IFERROR(ROUND(ENGLISH!H10,0), "")</f>
        <v/>
      </c>
      <c r="D8" s="55" t="str">
        <f>IFERROR(ROUND(ENGLISH!J10,0), "")</f>
        <v/>
      </c>
      <c r="E8" s="56" t="str">
        <f t="shared" si="7"/>
        <v/>
      </c>
      <c r="F8" s="57" t="str" cm="1">
        <f t="array" ref="F8">IF(E8&lt;&gt;"", ToGrade(E8), "")</f>
        <v/>
      </c>
      <c r="G8" s="58" t="str">
        <f>ENGLISH!L10</f>
        <v/>
      </c>
      <c r="H8" s="59" t="str" cm="1">
        <f t="array" ref="H8">IF(E8&lt;&gt;"", ToRemark(E8), "")</f>
        <v/>
      </c>
      <c r="I8" s="60"/>
      <c r="J8" s="55" t="str">
        <f>IFERROR(ROUND(MATHS!H10,0), "")</f>
        <v/>
      </c>
      <c r="K8" s="55" t="str">
        <f>IFERROR(ROUND(MATHS!J10,0), "")</f>
        <v/>
      </c>
      <c r="L8" s="56" t="str">
        <f t="shared" si="8"/>
        <v/>
      </c>
      <c r="M8" s="57" t="str" cm="1">
        <f t="array" ref="M8">IF(L8&lt;&gt;"", ToGrade(L8), "")</f>
        <v/>
      </c>
      <c r="N8" s="58" t="str">
        <f>MATHS!L10</f>
        <v/>
      </c>
      <c r="O8" s="59" t="str" cm="1">
        <f t="array" ref="O8">IF(L8&lt;&gt;"", ToRemark(L8), "")</f>
        <v/>
      </c>
      <c r="P8" s="60"/>
      <c r="Q8" s="57" t="str">
        <f>IFERROR(ROUND(SCIENCE!H10,0), "")</f>
        <v/>
      </c>
      <c r="R8" s="57" t="str">
        <f>IFERROR(ROUND(SCIENCE!J10,0), "")</f>
        <v/>
      </c>
      <c r="S8" s="56" t="str">
        <f t="shared" si="9"/>
        <v/>
      </c>
      <c r="T8" s="57" t="str" cm="1">
        <f t="array" ref="T8">IF(S8&lt;&gt;"", ToGrade(S8), "")</f>
        <v/>
      </c>
      <c r="U8" s="58" t="str">
        <f>SCIENCE!L10</f>
        <v/>
      </c>
      <c r="V8" s="59" t="str" cm="1">
        <f t="array" ref="V8">IF(S8&lt;&gt;"", ToRemark(S8), "")</f>
        <v/>
      </c>
      <c r="W8" s="60"/>
      <c r="X8" s="57" t="str">
        <f>IFERROR(ROUND(OWOP!H10,0), "")</f>
        <v/>
      </c>
      <c r="Y8" s="57" t="str">
        <f>IFERROR(ROUND(OWOP!J10,0), "")</f>
        <v/>
      </c>
      <c r="Z8" s="56" t="str">
        <f t="shared" si="10"/>
        <v/>
      </c>
      <c r="AA8" s="57" t="str" cm="1">
        <f t="array" ref="AA8">IF(Z8&lt;&gt;"", ToGrade(Z8), "")</f>
        <v/>
      </c>
      <c r="AB8" s="58" t="str">
        <f>OWOP!L10</f>
        <v/>
      </c>
      <c r="AC8" s="59" t="str" cm="1">
        <f t="array" ref="AC8">IF(Z8&lt;&gt;"", ToRemark(Z8), "")</f>
        <v/>
      </c>
      <c r="AD8" s="60"/>
      <c r="AE8" s="57" t="str">
        <f>IFERROR(ROUND('C ARTS'!H10,0), "")</f>
        <v/>
      </c>
      <c r="AF8" s="57" t="str">
        <f>IFERROR(ROUND('C ARTS'!J10,0), "")</f>
        <v/>
      </c>
      <c r="AG8" s="56" t="str">
        <f t="shared" si="11"/>
        <v/>
      </c>
      <c r="AH8" s="57" t="str" cm="1">
        <f t="array" ref="AH8">IF(AG8&lt;&gt;"", ToGrade(AG8), "")</f>
        <v/>
      </c>
      <c r="AI8" s="58" t="str">
        <f>'C ARTS'!L10</f>
        <v/>
      </c>
      <c r="AJ8" s="59" t="str" cm="1">
        <f t="array" ref="AJ8">IF(AG8&lt;&gt;"", ToRemark(AG8), "")</f>
        <v/>
      </c>
      <c r="AK8" s="60"/>
      <c r="AL8" s="57" t="str">
        <f>IFERROR(ROUND('GH LANG'!H10,0), "")</f>
        <v/>
      </c>
      <c r="AM8" s="57" t="str">
        <f>IFERROR(ROUND('GH LANG'!J10,0), "")</f>
        <v/>
      </c>
      <c r="AN8" s="61" t="str">
        <f t="shared" si="12"/>
        <v/>
      </c>
      <c r="AO8" s="57" t="str" cm="1">
        <f t="array" ref="AO8">IF(AN8&lt;&gt;"", ToGrade(AN8), "")</f>
        <v/>
      </c>
      <c r="AP8" s="58" t="str">
        <f>'GH LANG'!L10</f>
        <v/>
      </c>
      <c r="AQ8" s="59" t="str" cm="1">
        <f t="array" ref="AQ8">IF(AN8&lt;&gt;"", ToRemark(AN8), "")</f>
        <v/>
      </c>
      <c r="AR8" s="60"/>
      <c r="AS8" s="57" t="str">
        <f>IFERROR(ROUND(COMPUTING!H10,0), "")</f>
        <v/>
      </c>
      <c r="AT8" s="57" t="str">
        <f>IFERROR(ROUND(COMPUTING!J10,0), "")</f>
        <v/>
      </c>
      <c r="AU8" s="56" t="str">
        <f t="shared" si="13"/>
        <v/>
      </c>
      <c r="AV8" s="57" t="str" cm="1">
        <f t="array" ref="AV8">IF(AU8&lt;&gt;"", ToGrade(AU8), "")</f>
        <v/>
      </c>
      <c r="AW8" s="58" t="str">
        <f>COMPUTING!L10</f>
        <v/>
      </c>
      <c r="AX8" s="59" t="str" cm="1">
        <f t="array" ref="AX8">IF(AU8&lt;&gt;"", ToRemark(AU8), "")</f>
        <v/>
      </c>
      <c r="AY8" s="62"/>
      <c r="AZ8" s="57" t="str">
        <f>IFERROR(ROUND(HISTERY!H10,0), "")</f>
        <v/>
      </c>
      <c r="BA8" s="57" t="str">
        <f>IFERROR(ROUND(HISTERY!J10,0), "")</f>
        <v/>
      </c>
      <c r="BB8" s="56" t="str">
        <f t="shared" si="14"/>
        <v/>
      </c>
      <c r="BC8" s="57" t="str" cm="1">
        <f t="array" ref="BC8">IF(BB8&lt;&gt;"", ToGrade(BB8), "")</f>
        <v/>
      </c>
      <c r="BD8" s="58" t="str">
        <f>HISTERY!L10</f>
        <v/>
      </c>
      <c r="BE8" s="59" t="str" cm="1">
        <f t="array" ref="BE8">IF(BB8&lt;&gt;"", ToRemark(BB8), "")</f>
        <v/>
      </c>
      <c r="BF8" s="60"/>
      <c r="BG8" s="57" t="str">
        <f>IFERROR(ROUND(RME!H10,0), "")</f>
        <v/>
      </c>
      <c r="BH8" s="57" t="str">
        <f>IFERROR(ROUND(RME!J10,0), "")</f>
        <v/>
      </c>
      <c r="BI8" s="56" t="str">
        <f t="shared" si="15"/>
        <v/>
      </c>
      <c r="BJ8" s="57" t="str" cm="1">
        <f t="array" ref="BJ8">IF(BI8&lt;&gt;"", ToGrade(BI8), "")</f>
        <v/>
      </c>
      <c r="BK8" s="58" t="str">
        <f>RME!L10</f>
        <v/>
      </c>
      <c r="BL8" s="59" t="str" cm="1">
        <f t="array" ref="BL8">IF(BI8&lt;&gt;"", ToRemark(BI8), "")</f>
        <v/>
      </c>
      <c r="BM8" s="74"/>
      <c r="BN8" s="97" t="str">
        <f t="shared" si="16"/>
        <v/>
      </c>
      <c r="BO8" s="106" t="str">
        <f t="shared" si="17"/>
        <v/>
      </c>
      <c r="BP8" s="98" t="str" cm="1">
        <f t="array" ref="BP8">IFERROR(OrdinalNumber(_xlfn.RANK.EQ(BN8,$BN$3:$BN$101)), "")</f>
        <v/>
      </c>
      <c r="BQ8" s="104"/>
      <c r="BR8" s="99"/>
      <c r="BS8" s="111"/>
      <c r="BT8" s="83" t="str" cm="1">
        <f t="array" ref="BT8">IF(LEN(B8)&lt;&gt;0, GetTeacherRemark(BO8), "")</f>
        <v/>
      </c>
      <c r="BU8" s="86" t="str">
        <f t="shared" si="0"/>
        <v/>
      </c>
      <c r="BV8" s="86" t="str">
        <f t="shared" si="1"/>
        <v/>
      </c>
      <c r="BW8" s="86" t="str">
        <f t="shared" si="2"/>
        <v/>
      </c>
      <c r="BX8" s="86" t="str">
        <f t="shared" si="3"/>
        <v/>
      </c>
      <c r="BY8" s="115" t="str">
        <f t="shared" si="4"/>
        <v/>
      </c>
      <c r="BZ8" s="87" t="str">
        <f t="shared" si="5"/>
        <v/>
      </c>
      <c r="CA8" s="86" t="str">
        <f t="shared" si="6"/>
        <v/>
      </c>
      <c r="CB8" s="85"/>
    </row>
    <row r="9" spans="1:85" x14ac:dyDescent="0.25">
      <c r="A9" s="53" t="str">
        <v>7</v>
      </c>
      <c r="B9" s="54" t="str">
        <v/>
      </c>
      <c r="C9" s="55" t="str">
        <f>IFERROR(ROUND(ENGLISH!H11,0), "")</f>
        <v/>
      </c>
      <c r="D9" s="55" t="str">
        <f>IFERROR(ROUND(ENGLISH!J11,0), "")</f>
        <v/>
      </c>
      <c r="E9" s="56" t="str">
        <f t="shared" si="7"/>
        <v/>
      </c>
      <c r="F9" s="57" t="str" cm="1">
        <f t="array" ref="F9">IF(E9&lt;&gt;"", ToGrade(E9), "")</f>
        <v/>
      </c>
      <c r="G9" s="58" t="str">
        <f>ENGLISH!L11</f>
        <v/>
      </c>
      <c r="H9" s="59" t="str" cm="1">
        <f t="array" ref="H9">IF(E9&lt;&gt;"", ToRemark(E9), "")</f>
        <v/>
      </c>
      <c r="I9" s="60"/>
      <c r="J9" s="55" t="str">
        <f>IFERROR(ROUND(MATHS!H11,0), "")</f>
        <v/>
      </c>
      <c r="K9" s="55" t="str">
        <f>IFERROR(ROUND(MATHS!J11,0), "")</f>
        <v/>
      </c>
      <c r="L9" s="56" t="str">
        <f t="shared" si="8"/>
        <v/>
      </c>
      <c r="M9" s="57" t="str" cm="1">
        <f t="array" ref="M9">IF(L9&lt;&gt;"", ToGrade(L9), "")</f>
        <v/>
      </c>
      <c r="N9" s="58" t="str">
        <f>MATHS!L11</f>
        <v/>
      </c>
      <c r="O9" s="59" t="str" cm="1">
        <f t="array" ref="O9">IF(L9&lt;&gt;"", ToRemark(L9), "")</f>
        <v/>
      </c>
      <c r="P9" s="60"/>
      <c r="Q9" s="57" t="str">
        <f>IFERROR(ROUND(SCIENCE!H11,0), "")</f>
        <v/>
      </c>
      <c r="R9" s="57" t="str">
        <f>IFERROR(ROUND(SCIENCE!J11,0), "")</f>
        <v/>
      </c>
      <c r="S9" s="56" t="str">
        <f t="shared" si="9"/>
        <v/>
      </c>
      <c r="T9" s="57" t="str" cm="1">
        <f t="array" ref="T9">IF(S9&lt;&gt;"", ToGrade(S9), "")</f>
        <v/>
      </c>
      <c r="U9" s="58" t="str">
        <f>SCIENCE!L11</f>
        <v/>
      </c>
      <c r="V9" s="59" t="str" cm="1">
        <f t="array" ref="V9">IF(S9&lt;&gt;"", ToRemark(S9), "")</f>
        <v/>
      </c>
      <c r="W9" s="60"/>
      <c r="X9" s="57" t="str">
        <f>IFERROR(ROUND(OWOP!H11,0), "")</f>
        <v/>
      </c>
      <c r="Y9" s="57" t="str">
        <f>IFERROR(ROUND(OWOP!J11,0), "")</f>
        <v/>
      </c>
      <c r="Z9" s="56" t="str">
        <f t="shared" si="10"/>
        <v/>
      </c>
      <c r="AA9" s="57" t="str" cm="1">
        <f t="array" ref="AA9">IF(Z9&lt;&gt;"", ToGrade(Z9), "")</f>
        <v/>
      </c>
      <c r="AB9" s="58" t="str">
        <f>OWOP!L11</f>
        <v/>
      </c>
      <c r="AC9" s="59" t="str" cm="1">
        <f t="array" ref="AC9">IF(Z9&lt;&gt;"", ToRemark(Z9), "")</f>
        <v/>
      </c>
      <c r="AD9" s="60"/>
      <c r="AE9" s="57" t="str">
        <f>IFERROR(ROUND('C ARTS'!H11,0), "")</f>
        <v/>
      </c>
      <c r="AF9" s="57" t="str">
        <f>IFERROR(ROUND('C ARTS'!J11,0), "")</f>
        <v/>
      </c>
      <c r="AG9" s="56" t="str">
        <f t="shared" si="11"/>
        <v/>
      </c>
      <c r="AH9" s="57" t="str" cm="1">
        <f t="array" ref="AH9">IF(AG9&lt;&gt;"", ToGrade(AG9), "")</f>
        <v/>
      </c>
      <c r="AI9" s="58" t="str">
        <f>'C ARTS'!L11</f>
        <v/>
      </c>
      <c r="AJ9" s="59" t="str" cm="1">
        <f t="array" ref="AJ9">IF(AG9&lt;&gt;"", ToRemark(AG9), "")</f>
        <v/>
      </c>
      <c r="AK9" s="60"/>
      <c r="AL9" s="57" t="str">
        <f>IFERROR(ROUND('GH LANG'!H11,0), "")</f>
        <v/>
      </c>
      <c r="AM9" s="57" t="str">
        <f>IFERROR(ROUND('GH LANG'!J11,0), "")</f>
        <v/>
      </c>
      <c r="AN9" s="61" t="str">
        <f t="shared" si="12"/>
        <v/>
      </c>
      <c r="AO9" s="57" t="str" cm="1">
        <f t="array" ref="AO9">IF(AN9&lt;&gt;"", ToGrade(AN9), "")</f>
        <v/>
      </c>
      <c r="AP9" s="58" t="str">
        <f>'GH LANG'!L11</f>
        <v/>
      </c>
      <c r="AQ9" s="59" t="str" cm="1">
        <f t="array" ref="AQ9">IF(AN9&lt;&gt;"", ToRemark(AN9), "")</f>
        <v/>
      </c>
      <c r="AR9" s="60"/>
      <c r="AS9" s="57" t="str">
        <f>IFERROR(ROUND(COMPUTING!H11,0), "")</f>
        <v/>
      </c>
      <c r="AT9" s="57" t="str">
        <f>IFERROR(ROUND(COMPUTING!J11,0), "")</f>
        <v/>
      </c>
      <c r="AU9" s="56" t="str">
        <f t="shared" si="13"/>
        <v/>
      </c>
      <c r="AV9" s="57" t="str" cm="1">
        <f t="array" ref="AV9">IF(AU9&lt;&gt;"", ToGrade(AU9), "")</f>
        <v/>
      </c>
      <c r="AW9" s="58" t="str">
        <f>COMPUTING!L11</f>
        <v/>
      </c>
      <c r="AX9" s="59" t="str" cm="1">
        <f t="array" ref="AX9">IF(AU9&lt;&gt;"", ToRemark(AU9), "")</f>
        <v/>
      </c>
      <c r="AY9" s="62"/>
      <c r="AZ9" s="57" t="str">
        <f>IFERROR(ROUND(HISTERY!H11,0), "")</f>
        <v/>
      </c>
      <c r="BA9" s="57" t="str">
        <f>IFERROR(ROUND(HISTERY!J11,0), "")</f>
        <v/>
      </c>
      <c r="BB9" s="56" t="str">
        <f t="shared" si="14"/>
        <v/>
      </c>
      <c r="BC9" s="57" t="str" cm="1">
        <f t="array" ref="BC9">IF(BB9&lt;&gt;"", ToGrade(BB9), "")</f>
        <v/>
      </c>
      <c r="BD9" s="58" t="str">
        <f>HISTERY!L11</f>
        <v/>
      </c>
      <c r="BE9" s="59" t="str" cm="1">
        <f t="array" ref="BE9">IF(BB9&lt;&gt;"", ToRemark(BB9), "")</f>
        <v/>
      </c>
      <c r="BF9" s="60"/>
      <c r="BG9" s="57" t="str">
        <f>IFERROR(ROUND(RME!H11,0), "")</f>
        <v/>
      </c>
      <c r="BH9" s="57" t="str">
        <f>IFERROR(ROUND(RME!J11,0), "")</f>
        <v/>
      </c>
      <c r="BI9" s="56" t="str">
        <f t="shared" si="15"/>
        <v/>
      </c>
      <c r="BJ9" s="57" t="str" cm="1">
        <f t="array" ref="BJ9">IF(BI9&lt;&gt;"", ToGrade(BI9), "")</f>
        <v/>
      </c>
      <c r="BK9" s="58" t="str">
        <f>RME!L11</f>
        <v/>
      </c>
      <c r="BL9" s="59" t="str" cm="1">
        <f t="array" ref="BL9">IF(BI9&lt;&gt;"", ToRemark(BI9), "")</f>
        <v/>
      </c>
      <c r="BM9" s="74"/>
      <c r="BN9" s="97" t="str">
        <f t="shared" si="16"/>
        <v/>
      </c>
      <c r="BO9" s="106" t="str">
        <f t="shared" si="17"/>
        <v/>
      </c>
      <c r="BP9" s="98" t="str" cm="1">
        <f t="array" ref="BP9">IFERROR(OrdinalNumber(_xlfn.RANK.EQ(BN9,$BN$3:$BN$101)), "")</f>
        <v/>
      </c>
      <c r="BQ9" s="104"/>
      <c r="BR9" s="99"/>
      <c r="BS9" s="111"/>
      <c r="BT9" s="83" t="str" cm="1">
        <f t="array" ref="BT9">IF(LEN(B9)&lt;&gt;0, GetTeacherRemark(BO9), "")</f>
        <v/>
      </c>
      <c r="BU9" s="86" t="str">
        <f t="shared" si="0"/>
        <v/>
      </c>
      <c r="BV9" s="86" t="str">
        <f t="shared" si="1"/>
        <v/>
      </c>
      <c r="BW9" s="86" t="str">
        <f t="shared" si="2"/>
        <v/>
      </c>
      <c r="BX9" s="86" t="str">
        <f t="shared" si="3"/>
        <v/>
      </c>
      <c r="BY9" s="115" t="str">
        <f t="shared" si="4"/>
        <v/>
      </c>
      <c r="BZ9" s="87" t="str">
        <f t="shared" si="5"/>
        <v/>
      </c>
      <c r="CA9" s="86" t="str">
        <f t="shared" si="6"/>
        <v/>
      </c>
      <c r="CB9" s="85"/>
    </row>
    <row r="10" spans="1:85" x14ac:dyDescent="0.25">
      <c r="A10" s="53" t="str">
        <v>8</v>
      </c>
      <c r="B10" s="54" t="str">
        <v/>
      </c>
      <c r="C10" s="55" t="str">
        <f>IFERROR(ROUND(ENGLISH!H12,0), "")</f>
        <v/>
      </c>
      <c r="D10" s="55" t="str">
        <f>IFERROR(ROUND(ENGLISH!J12,0), "")</f>
        <v/>
      </c>
      <c r="E10" s="56" t="str">
        <f t="shared" si="7"/>
        <v/>
      </c>
      <c r="F10" s="57" t="str" cm="1">
        <f t="array" ref="F10">IF(E10&lt;&gt;"", ToGrade(E10), "")</f>
        <v/>
      </c>
      <c r="G10" s="58" t="str">
        <f>ENGLISH!L12</f>
        <v/>
      </c>
      <c r="H10" s="59" t="str" cm="1">
        <f t="array" ref="H10">IF(E10&lt;&gt;"", ToRemark(E10), "")</f>
        <v/>
      </c>
      <c r="I10" s="60"/>
      <c r="J10" s="55" t="str">
        <f>IFERROR(ROUND(MATHS!H12,0), "")</f>
        <v/>
      </c>
      <c r="K10" s="55" t="str">
        <f>IFERROR(ROUND(MATHS!J12,0), "")</f>
        <v/>
      </c>
      <c r="L10" s="56" t="str">
        <f t="shared" si="8"/>
        <v/>
      </c>
      <c r="M10" s="57" t="str" cm="1">
        <f t="array" ref="M10">IF(L10&lt;&gt;"", ToGrade(L10), "")</f>
        <v/>
      </c>
      <c r="N10" s="58" t="str">
        <f>MATHS!L12</f>
        <v/>
      </c>
      <c r="O10" s="59" t="str" cm="1">
        <f t="array" ref="O10">IF(L10&lt;&gt;"", ToRemark(L10), "")</f>
        <v/>
      </c>
      <c r="P10" s="60"/>
      <c r="Q10" s="57" t="str">
        <f>IFERROR(ROUND(SCIENCE!H12,0), "")</f>
        <v/>
      </c>
      <c r="R10" s="57" t="str">
        <f>IFERROR(ROUND(SCIENCE!J12,0), "")</f>
        <v/>
      </c>
      <c r="S10" s="56" t="str">
        <f t="shared" si="9"/>
        <v/>
      </c>
      <c r="T10" s="57" t="str" cm="1">
        <f t="array" ref="T10">IF(S10&lt;&gt;"", ToGrade(S10), "")</f>
        <v/>
      </c>
      <c r="U10" s="58" t="str">
        <f>SCIENCE!L12</f>
        <v/>
      </c>
      <c r="V10" s="59" t="str" cm="1">
        <f t="array" ref="V10">IF(S10&lt;&gt;"", ToRemark(S10), "")</f>
        <v/>
      </c>
      <c r="W10" s="60"/>
      <c r="X10" s="57" t="str">
        <f>IFERROR(ROUND(OWOP!H12,0), "")</f>
        <v/>
      </c>
      <c r="Y10" s="57" t="str">
        <f>IFERROR(ROUND(OWOP!J12,0), "")</f>
        <v/>
      </c>
      <c r="Z10" s="56" t="str">
        <f t="shared" si="10"/>
        <v/>
      </c>
      <c r="AA10" s="57" t="str" cm="1">
        <f t="array" ref="AA10">IF(Z10&lt;&gt;"", ToGrade(Z10), "")</f>
        <v/>
      </c>
      <c r="AB10" s="58" t="str">
        <f>OWOP!L12</f>
        <v/>
      </c>
      <c r="AC10" s="59" t="str" cm="1">
        <f t="array" ref="AC10">IF(Z10&lt;&gt;"", ToRemark(Z10), "")</f>
        <v/>
      </c>
      <c r="AD10" s="60"/>
      <c r="AE10" s="57" t="str">
        <f>IFERROR(ROUND('C ARTS'!H12,0), "")</f>
        <v/>
      </c>
      <c r="AF10" s="57" t="str">
        <f>IFERROR(ROUND('C ARTS'!J12,0), "")</f>
        <v/>
      </c>
      <c r="AG10" s="56" t="str">
        <f t="shared" si="11"/>
        <v/>
      </c>
      <c r="AH10" s="57" t="str" cm="1">
        <f t="array" ref="AH10">IF(AG10&lt;&gt;"", ToGrade(AG10), "")</f>
        <v/>
      </c>
      <c r="AI10" s="58" t="str">
        <f>'C ARTS'!L12</f>
        <v/>
      </c>
      <c r="AJ10" s="59" t="str" cm="1">
        <f t="array" ref="AJ10">IF(AG10&lt;&gt;"", ToRemark(AG10), "")</f>
        <v/>
      </c>
      <c r="AK10" s="60"/>
      <c r="AL10" s="57" t="str">
        <f>IFERROR(ROUND('GH LANG'!H12,0), "")</f>
        <v/>
      </c>
      <c r="AM10" s="57" t="str">
        <f>IFERROR(ROUND('GH LANG'!J12,0), "")</f>
        <v/>
      </c>
      <c r="AN10" s="61" t="str">
        <f t="shared" si="12"/>
        <v/>
      </c>
      <c r="AO10" s="57" t="str" cm="1">
        <f t="array" ref="AO10">IF(AN10&lt;&gt;"", ToGrade(AN10), "")</f>
        <v/>
      </c>
      <c r="AP10" s="58" t="str">
        <f>'GH LANG'!L12</f>
        <v/>
      </c>
      <c r="AQ10" s="59" t="str" cm="1">
        <f t="array" ref="AQ10">IF(AN10&lt;&gt;"", ToRemark(AN10), "")</f>
        <v/>
      </c>
      <c r="AR10" s="60"/>
      <c r="AS10" s="57" t="str">
        <f>IFERROR(ROUND(COMPUTING!H12,0), "")</f>
        <v/>
      </c>
      <c r="AT10" s="57" t="str">
        <f>IFERROR(ROUND(COMPUTING!J12,0), "")</f>
        <v/>
      </c>
      <c r="AU10" s="56" t="str">
        <f t="shared" si="13"/>
        <v/>
      </c>
      <c r="AV10" s="57" t="str" cm="1">
        <f t="array" ref="AV10">IF(AU10&lt;&gt;"", ToGrade(AU10), "")</f>
        <v/>
      </c>
      <c r="AW10" s="58" t="str">
        <f>COMPUTING!L12</f>
        <v/>
      </c>
      <c r="AX10" s="59" t="str" cm="1">
        <f t="array" ref="AX10">IF(AU10&lt;&gt;"", ToRemark(AU10), "")</f>
        <v/>
      </c>
      <c r="AY10" s="62"/>
      <c r="AZ10" s="57" t="str">
        <f>IFERROR(ROUND(HISTERY!H12,0), "")</f>
        <v/>
      </c>
      <c r="BA10" s="57" t="str">
        <f>IFERROR(ROUND(HISTERY!J12,0), "")</f>
        <v/>
      </c>
      <c r="BB10" s="56" t="str">
        <f t="shared" si="14"/>
        <v/>
      </c>
      <c r="BC10" s="57" t="str" cm="1">
        <f t="array" ref="BC10">IF(BB10&lt;&gt;"", ToGrade(BB10), "")</f>
        <v/>
      </c>
      <c r="BD10" s="58" t="str">
        <f>HISTERY!L12</f>
        <v/>
      </c>
      <c r="BE10" s="59" t="str" cm="1">
        <f t="array" ref="BE10">IF(BB10&lt;&gt;"", ToRemark(BB10), "")</f>
        <v/>
      </c>
      <c r="BF10" s="60"/>
      <c r="BG10" s="57" t="str">
        <f>IFERROR(ROUND(RME!H12,0), "")</f>
        <v/>
      </c>
      <c r="BH10" s="57" t="str">
        <f>IFERROR(ROUND(RME!J12,0), "")</f>
        <v/>
      </c>
      <c r="BI10" s="56" t="str">
        <f t="shared" si="15"/>
        <v/>
      </c>
      <c r="BJ10" s="57" t="str" cm="1">
        <f t="array" ref="BJ10">IF(BI10&lt;&gt;"", ToGrade(BI10), "")</f>
        <v/>
      </c>
      <c r="BK10" s="58" t="str">
        <f>RME!L12</f>
        <v/>
      </c>
      <c r="BL10" s="59" t="str" cm="1">
        <f t="array" ref="BL10">IF(BI10&lt;&gt;"", ToRemark(BI10), "")</f>
        <v/>
      </c>
      <c r="BM10" s="74"/>
      <c r="BN10" s="97" t="str">
        <f t="shared" si="16"/>
        <v/>
      </c>
      <c r="BO10" s="106" t="str">
        <f t="shared" si="17"/>
        <v/>
      </c>
      <c r="BP10" s="98" t="str" cm="1">
        <f t="array" ref="BP10">IFERROR(OrdinalNumber(_xlfn.RANK.EQ(BN10,$BN$3:$BN$101)), "")</f>
        <v/>
      </c>
      <c r="BQ10" s="104"/>
      <c r="BR10" s="99"/>
      <c r="BS10" s="111"/>
      <c r="BT10" s="83" t="str" cm="1">
        <f t="array" ref="BT10">IF(LEN(B10)&lt;&gt;0, GetTeacherRemark(BO10), "")</f>
        <v/>
      </c>
      <c r="BU10" s="86" t="str">
        <f t="shared" si="0"/>
        <v/>
      </c>
      <c r="BV10" s="86" t="str">
        <f t="shared" si="1"/>
        <v/>
      </c>
      <c r="BW10" s="86" t="str">
        <f t="shared" si="2"/>
        <v/>
      </c>
      <c r="BX10" s="86" t="str">
        <f t="shared" si="3"/>
        <v/>
      </c>
      <c r="BY10" s="115" t="str">
        <f t="shared" si="4"/>
        <v/>
      </c>
      <c r="BZ10" s="87" t="str">
        <f t="shared" si="5"/>
        <v/>
      </c>
      <c r="CA10" s="86" t="str">
        <f t="shared" si="6"/>
        <v/>
      </c>
      <c r="CB10" s="85"/>
    </row>
    <row r="11" spans="1:85" x14ac:dyDescent="0.25">
      <c r="A11" s="53" t="str">
        <v>9</v>
      </c>
      <c r="B11" s="54" t="str">
        <v/>
      </c>
      <c r="C11" s="55" t="str">
        <f>IFERROR(ROUND(ENGLISH!H13,0), "")</f>
        <v/>
      </c>
      <c r="D11" s="55" t="str">
        <f>IFERROR(ROUND(ENGLISH!J13,0), "")</f>
        <v/>
      </c>
      <c r="E11" s="56" t="str">
        <f t="shared" si="7"/>
        <v/>
      </c>
      <c r="F11" s="57" t="str" cm="1">
        <f t="array" ref="F11">IF(E11&lt;&gt;"", ToGrade(E11), "")</f>
        <v/>
      </c>
      <c r="G11" s="58" t="str">
        <f>ENGLISH!L13</f>
        <v/>
      </c>
      <c r="H11" s="59" t="str" cm="1">
        <f t="array" ref="H11">IF(E11&lt;&gt;"", ToRemark(E11), "")</f>
        <v/>
      </c>
      <c r="I11" s="60"/>
      <c r="J11" s="55" t="str">
        <f>IFERROR(ROUND(MATHS!H13,0), "")</f>
        <v/>
      </c>
      <c r="K11" s="55" t="str">
        <f>IFERROR(ROUND(MATHS!J13,0), "")</f>
        <v/>
      </c>
      <c r="L11" s="56" t="str">
        <f t="shared" si="8"/>
        <v/>
      </c>
      <c r="M11" s="57" t="str" cm="1">
        <f t="array" ref="M11">IF(L11&lt;&gt;"", ToGrade(L11), "")</f>
        <v/>
      </c>
      <c r="N11" s="58" t="str">
        <f>MATHS!L13</f>
        <v/>
      </c>
      <c r="O11" s="59" t="str" cm="1">
        <f t="array" ref="O11">IF(L11&lt;&gt;"", ToRemark(L11), "")</f>
        <v/>
      </c>
      <c r="P11" s="60"/>
      <c r="Q11" s="57" t="str">
        <f>IFERROR(ROUND(SCIENCE!H13,0), "")</f>
        <v/>
      </c>
      <c r="R11" s="57" t="str">
        <f>IFERROR(ROUND(SCIENCE!J13,0), "")</f>
        <v/>
      </c>
      <c r="S11" s="56" t="str">
        <f t="shared" si="9"/>
        <v/>
      </c>
      <c r="T11" s="57" t="str" cm="1">
        <f t="array" ref="T11">IF(S11&lt;&gt;"", ToGrade(S11), "")</f>
        <v/>
      </c>
      <c r="U11" s="58" t="str">
        <f>SCIENCE!L13</f>
        <v/>
      </c>
      <c r="V11" s="59" t="str" cm="1">
        <f t="array" ref="V11">IF(S11&lt;&gt;"", ToRemark(S11), "")</f>
        <v/>
      </c>
      <c r="W11" s="60"/>
      <c r="X11" s="57" t="str">
        <f>IFERROR(ROUND(OWOP!H13,0), "")</f>
        <v/>
      </c>
      <c r="Y11" s="57" t="str">
        <f>IFERROR(ROUND(OWOP!J13,0), "")</f>
        <v/>
      </c>
      <c r="Z11" s="56" t="str">
        <f t="shared" si="10"/>
        <v/>
      </c>
      <c r="AA11" s="57" t="str" cm="1">
        <f t="array" ref="AA11">IF(Z11&lt;&gt;"", ToGrade(Z11), "")</f>
        <v/>
      </c>
      <c r="AB11" s="58" t="str">
        <f>OWOP!L13</f>
        <v/>
      </c>
      <c r="AC11" s="59" t="str" cm="1">
        <f t="array" ref="AC11">IF(Z11&lt;&gt;"", ToRemark(Z11), "")</f>
        <v/>
      </c>
      <c r="AD11" s="60"/>
      <c r="AE11" s="57" t="str">
        <f>IFERROR(ROUND('C ARTS'!H13,0), "")</f>
        <v/>
      </c>
      <c r="AF11" s="57" t="str">
        <f>IFERROR(ROUND('C ARTS'!J13,0), "")</f>
        <v/>
      </c>
      <c r="AG11" s="56" t="str">
        <f t="shared" si="11"/>
        <v/>
      </c>
      <c r="AH11" s="57" t="str" cm="1">
        <f t="array" ref="AH11">IF(AG11&lt;&gt;"", ToGrade(AG11), "")</f>
        <v/>
      </c>
      <c r="AI11" s="58" t="str">
        <f>'C ARTS'!L13</f>
        <v/>
      </c>
      <c r="AJ11" s="59" t="str" cm="1">
        <f t="array" ref="AJ11">IF(AG11&lt;&gt;"", ToRemark(AG11), "")</f>
        <v/>
      </c>
      <c r="AK11" s="60"/>
      <c r="AL11" s="57" t="str">
        <f>IFERROR(ROUND('GH LANG'!H13,0), "")</f>
        <v/>
      </c>
      <c r="AM11" s="57" t="str">
        <f>IFERROR(ROUND('GH LANG'!J13,0), "")</f>
        <v/>
      </c>
      <c r="AN11" s="61" t="str">
        <f t="shared" si="12"/>
        <v/>
      </c>
      <c r="AO11" s="57" t="str" cm="1">
        <f t="array" ref="AO11">IF(AN11&lt;&gt;"", ToGrade(AN11), "")</f>
        <v/>
      </c>
      <c r="AP11" s="58" t="str">
        <f>'GH LANG'!L13</f>
        <v/>
      </c>
      <c r="AQ11" s="59" t="str" cm="1">
        <f t="array" ref="AQ11">IF(AN11&lt;&gt;"", ToRemark(AN11), "")</f>
        <v/>
      </c>
      <c r="AR11" s="60"/>
      <c r="AS11" s="57" t="str">
        <f>IFERROR(ROUND(COMPUTING!H13,0), "")</f>
        <v/>
      </c>
      <c r="AT11" s="57" t="str">
        <f>IFERROR(ROUND(COMPUTING!J13,0), "")</f>
        <v/>
      </c>
      <c r="AU11" s="56" t="str">
        <f t="shared" si="13"/>
        <v/>
      </c>
      <c r="AV11" s="57" t="str" cm="1">
        <f t="array" ref="AV11">IF(AU11&lt;&gt;"", ToGrade(AU11), "")</f>
        <v/>
      </c>
      <c r="AW11" s="58" t="str">
        <f>COMPUTING!L13</f>
        <v/>
      </c>
      <c r="AX11" s="59" t="str" cm="1">
        <f t="array" ref="AX11">IF(AU11&lt;&gt;"", ToRemark(AU11), "")</f>
        <v/>
      </c>
      <c r="AY11" s="62"/>
      <c r="AZ11" s="57" t="str">
        <f>IFERROR(ROUND(HISTERY!H13,0), "")</f>
        <v/>
      </c>
      <c r="BA11" s="57" t="str">
        <f>IFERROR(ROUND(HISTERY!J13,0), "")</f>
        <v/>
      </c>
      <c r="BB11" s="56" t="str">
        <f t="shared" si="14"/>
        <v/>
      </c>
      <c r="BC11" s="57" t="str" cm="1">
        <f t="array" ref="BC11">IF(BB11&lt;&gt;"", ToGrade(BB11), "")</f>
        <v/>
      </c>
      <c r="BD11" s="58" t="str">
        <f>HISTERY!L13</f>
        <v/>
      </c>
      <c r="BE11" s="59" t="str" cm="1">
        <f t="array" ref="BE11">IF(BB11&lt;&gt;"", ToRemark(BB11), "")</f>
        <v/>
      </c>
      <c r="BF11" s="60"/>
      <c r="BG11" s="57" t="str">
        <f>IFERROR(ROUND(RME!H13,0), "")</f>
        <v/>
      </c>
      <c r="BH11" s="57" t="str">
        <f>IFERROR(ROUND(RME!J13,0), "")</f>
        <v/>
      </c>
      <c r="BI11" s="56" t="str">
        <f t="shared" si="15"/>
        <v/>
      </c>
      <c r="BJ11" s="57" t="str" cm="1">
        <f t="array" ref="BJ11">IF(BI11&lt;&gt;"", ToGrade(BI11), "")</f>
        <v/>
      </c>
      <c r="BK11" s="58" t="str">
        <f>RME!L13</f>
        <v/>
      </c>
      <c r="BL11" s="59" t="str" cm="1">
        <f t="array" ref="BL11">IF(BI11&lt;&gt;"", ToRemark(BI11), "")</f>
        <v/>
      </c>
      <c r="BM11" s="74"/>
      <c r="BN11" s="97" t="str">
        <f t="shared" si="16"/>
        <v/>
      </c>
      <c r="BO11" s="106" t="str">
        <f t="shared" si="17"/>
        <v/>
      </c>
      <c r="BP11" s="98" t="str" cm="1">
        <f t="array" ref="BP11">IFERROR(OrdinalNumber(_xlfn.RANK.EQ(BN11,$BN$3:$BN$101)), "")</f>
        <v/>
      </c>
      <c r="BQ11" s="104"/>
      <c r="BR11" s="99"/>
      <c r="BS11" s="111"/>
      <c r="BT11" s="83" t="str" cm="1">
        <f t="array" ref="BT11">IF(LEN(B11)&lt;&gt;0, GetTeacherRemark(BO11), "")</f>
        <v/>
      </c>
      <c r="BU11" s="86" t="str">
        <f t="shared" si="0"/>
        <v/>
      </c>
      <c r="BV11" s="86" t="str">
        <f>IF(B11&lt;&gt;"",class, "")</f>
        <v/>
      </c>
      <c r="BW11" s="86" t="str">
        <f t="shared" si="2"/>
        <v/>
      </c>
      <c r="BX11" s="86" t="str">
        <f t="shared" si="3"/>
        <v/>
      </c>
      <c r="BY11" s="115" t="str">
        <f t="shared" si="4"/>
        <v/>
      </c>
      <c r="BZ11" s="87" t="str">
        <f t="shared" si="5"/>
        <v/>
      </c>
      <c r="CA11" s="86" t="str">
        <f t="shared" si="6"/>
        <v/>
      </c>
      <c r="CB11" s="85"/>
    </row>
    <row r="12" spans="1:85" x14ac:dyDescent="0.25">
      <c r="A12" s="53" t="str">
        <v>10</v>
      </c>
      <c r="B12" s="54" t="str">
        <v/>
      </c>
      <c r="C12" s="55" t="str">
        <f>IFERROR(ROUND(ENGLISH!H14,0), "")</f>
        <v/>
      </c>
      <c r="D12" s="55" t="str">
        <f>IFERROR(ROUND(ENGLISH!J14,0), "")</f>
        <v/>
      </c>
      <c r="E12" s="56" t="str">
        <f t="shared" si="7"/>
        <v/>
      </c>
      <c r="F12" s="57" t="str" cm="1">
        <f t="array" ref="F12">IF(E12&lt;&gt;"", ToGrade(E12), "")</f>
        <v/>
      </c>
      <c r="G12" s="58" t="str">
        <f>ENGLISH!L14</f>
        <v/>
      </c>
      <c r="H12" s="59" t="str" cm="1">
        <f t="array" ref="H12">IF(E12&lt;&gt;"", ToRemark(E12), "")</f>
        <v/>
      </c>
      <c r="I12" s="60"/>
      <c r="J12" s="55" t="str">
        <f>IFERROR(ROUND(MATHS!H14,0), "")</f>
        <v/>
      </c>
      <c r="K12" s="55" t="str">
        <f>IFERROR(ROUND(MATHS!J14,0), "")</f>
        <v/>
      </c>
      <c r="L12" s="56" t="str">
        <f t="shared" si="8"/>
        <v/>
      </c>
      <c r="M12" s="57" t="str" cm="1">
        <f t="array" ref="M12">IF(L12&lt;&gt;"", ToGrade(L12), "")</f>
        <v/>
      </c>
      <c r="N12" s="58" t="str">
        <f>MATHS!L14</f>
        <v/>
      </c>
      <c r="O12" s="59" t="str" cm="1">
        <f t="array" ref="O12">IF(L12&lt;&gt;"", ToRemark(L12), "")</f>
        <v/>
      </c>
      <c r="P12" s="60"/>
      <c r="Q12" s="57" t="str">
        <f>IFERROR(ROUND(SCIENCE!H14,0), "")</f>
        <v/>
      </c>
      <c r="R12" s="57" t="str">
        <f>IFERROR(ROUND(SCIENCE!J14,0), "")</f>
        <v/>
      </c>
      <c r="S12" s="56" t="str">
        <f t="shared" si="9"/>
        <v/>
      </c>
      <c r="T12" s="57" t="str" cm="1">
        <f t="array" ref="T12">IF(S12&lt;&gt;"", ToGrade(S12), "")</f>
        <v/>
      </c>
      <c r="U12" s="58" t="str">
        <f>SCIENCE!L14</f>
        <v/>
      </c>
      <c r="V12" s="59" t="str" cm="1">
        <f t="array" ref="V12">IF(S12&lt;&gt;"", ToRemark(S12), "")</f>
        <v/>
      </c>
      <c r="W12" s="60"/>
      <c r="X12" s="57" t="str">
        <f>IFERROR(ROUND(OWOP!H14,0), "")</f>
        <v/>
      </c>
      <c r="Y12" s="57" t="str">
        <f>IFERROR(ROUND(OWOP!J14,0), "")</f>
        <v/>
      </c>
      <c r="Z12" s="56" t="str">
        <f t="shared" si="10"/>
        <v/>
      </c>
      <c r="AA12" s="57" t="str" cm="1">
        <f t="array" ref="AA12">IF(Z12&lt;&gt;"", ToGrade(Z12), "")</f>
        <v/>
      </c>
      <c r="AB12" s="58" t="str">
        <f>OWOP!L14</f>
        <v/>
      </c>
      <c r="AC12" s="59" t="str" cm="1">
        <f t="array" ref="AC12">IF(Z12&lt;&gt;"", ToRemark(Z12), "")</f>
        <v/>
      </c>
      <c r="AD12" s="60"/>
      <c r="AE12" s="57" t="str">
        <f>IFERROR(ROUND('C ARTS'!H14,0), "")</f>
        <v/>
      </c>
      <c r="AF12" s="57" t="str">
        <f>IFERROR(ROUND('C ARTS'!J14,0), "")</f>
        <v/>
      </c>
      <c r="AG12" s="56" t="str">
        <f t="shared" si="11"/>
        <v/>
      </c>
      <c r="AH12" s="57" t="str" cm="1">
        <f t="array" ref="AH12">IF(AG12&lt;&gt;"", ToGrade(AG12), "")</f>
        <v/>
      </c>
      <c r="AI12" s="58" t="str">
        <f>'C ARTS'!L14</f>
        <v/>
      </c>
      <c r="AJ12" s="59" t="str" cm="1">
        <f t="array" ref="AJ12">IF(AG12&lt;&gt;"", ToRemark(AG12), "")</f>
        <v/>
      </c>
      <c r="AK12" s="60"/>
      <c r="AL12" s="57" t="str">
        <f>IFERROR(ROUND('GH LANG'!H14,0), "")</f>
        <v/>
      </c>
      <c r="AM12" s="57" t="str">
        <f>IFERROR(ROUND('GH LANG'!J14,0), "")</f>
        <v/>
      </c>
      <c r="AN12" s="61" t="str">
        <f t="shared" si="12"/>
        <v/>
      </c>
      <c r="AO12" s="57" t="str" cm="1">
        <f t="array" ref="AO12">IF(AN12&lt;&gt;"", ToGrade(AN12), "")</f>
        <v/>
      </c>
      <c r="AP12" s="58" t="str">
        <f>'GH LANG'!L14</f>
        <v/>
      </c>
      <c r="AQ12" s="59" t="str" cm="1">
        <f t="array" ref="AQ12">IF(AN12&lt;&gt;"", ToRemark(AN12), "")</f>
        <v/>
      </c>
      <c r="AR12" s="60"/>
      <c r="AS12" s="57" t="str">
        <f>IFERROR(ROUND(COMPUTING!H14,0), "")</f>
        <v/>
      </c>
      <c r="AT12" s="57" t="str">
        <f>IFERROR(ROUND(COMPUTING!J14,0), "")</f>
        <v/>
      </c>
      <c r="AU12" s="56" t="str">
        <f t="shared" si="13"/>
        <v/>
      </c>
      <c r="AV12" s="57" t="str" cm="1">
        <f t="array" ref="AV12">IF(AU12&lt;&gt;"", ToGrade(AU12), "")</f>
        <v/>
      </c>
      <c r="AW12" s="58" t="str">
        <f>COMPUTING!L14</f>
        <v/>
      </c>
      <c r="AX12" s="59" t="str" cm="1">
        <f t="array" ref="AX12">IF(AU12&lt;&gt;"", ToRemark(AU12), "")</f>
        <v/>
      </c>
      <c r="AY12" s="62"/>
      <c r="AZ12" s="57" t="str">
        <f>IFERROR(ROUND(HISTERY!H14,0), "")</f>
        <v/>
      </c>
      <c r="BA12" s="57" t="str">
        <f>IFERROR(ROUND(HISTERY!J14,0), "")</f>
        <v/>
      </c>
      <c r="BB12" s="56" t="str">
        <f t="shared" si="14"/>
        <v/>
      </c>
      <c r="BC12" s="57" t="str" cm="1">
        <f t="array" ref="BC12">IF(BB12&lt;&gt;"", ToGrade(BB12), "")</f>
        <v/>
      </c>
      <c r="BD12" s="58" t="str">
        <f>HISTERY!L14</f>
        <v/>
      </c>
      <c r="BE12" s="59" t="str" cm="1">
        <f t="array" ref="BE12">IF(BB12&lt;&gt;"", ToRemark(BB12), "")</f>
        <v/>
      </c>
      <c r="BF12" s="60"/>
      <c r="BG12" s="57" t="str">
        <f>IFERROR(ROUND(RME!H14,0), "")</f>
        <v/>
      </c>
      <c r="BH12" s="57" t="str">
        <f>IFERROR(ROUND(RME!J14,0), "")</f>
        <v/>
      </c>
      <c r="BI12" s="56" t="str">
        <f t="shared" si="15"/>
        <v/>
      </c>
      <c r="BJ12" s="57" t="str" cm="1">
        <f t="array" ref="BJ12">IF(BI12&lt;&gt;"", ToGrade(BI12), "")</f>
        <v/>
      </c>
      <c r="BK12" s="58" t="str">
        <f>RME!L14</f>
        <v/>
      </c>
      <c r="BL12" s="59" t="str" cm="1">
        <f t="array" ref="BL12">IF(BI12&lt;&gt;"", ToRemark(BI12), "")</f>
        <v/>
      </c>
      <c r="BM12" s="74"/>
      <c r="BN12" s="97" t="str">
        <f t="shared" si="16"/>
        <v/>
      </c>
      <c r="BO12" s="106" t="str">
        <f t="shared" si="17"/>
        <v/>
      </c>
      <c r="BP12" s="98" t="str" cm="1">
        <f t="array" ref="BP12">IFERROR(OrdinalNumber(_xlfn.RANK.EQ(BN12,$BN$3:$BN$101)), "")</f>
        <v/>
      </c>
      <c r="BQ12" s="104"/>
      <c r="BR12" s="99"/>
      <c r="BS12" s="111"/>
      <c r="BT12" s="83" t="str" cm="1">
        <f t="array" ref="BT12">IF(LEN(B12)&lt;&gt;0, GetTeacherRemark(BO12), "")</f>
        <v/>
      </c>
      <c r="BU12" s="86" t="str">
        <f t="shared" si="0"/>
        <v/>
      </c>
      <c r="BV12" s="86" t="str">
        <f t="shared" si="1"/>
        <v/>
      </c>
      <c r="BW12" s="86" t="str">
        <f t="shared" si="2"/>
        <v/>
      </c>
      <c r="BX12" s="86" t="str">
        <f t="shared" si="3"/>
        <v/>
      </c>
      <c r="BY12" s="115" t="str">
        <f t="shared" si="4"/>
        <v/>
      </c>
      <c r="BZ12" s="87" t="str">
        <f t="shared" si="5"/>
        <v/>
      </c>
      <c r="CA12" s="86" t="str">
        <f t="shared" si="6"/>
        <v/>
      </c>
      <c r="CB12" s="85"/>
    </row>
    <row r="13" spans="1:85" x14ac:dyDescent="0.25">
      <c r="A13" s="53" t="str">
        <v>11</v>
      </c>
      <c r="B13" s="54" t="str">
        <v/>
      </c>
      <c r="C13" s="55" t="str">
        <f>IFERROR(ROUND(ENGLISH!H15,0), "")</f>
        <v/>
      </c>
      <c r="D13" s="55" t="str">
        <f>IFERROR(ROUND(ENGLISH!J15,0), "")</f>
        <v/>
      </c>
      <c r="E13" s="56" t="str">
        <f t="shared" si="7"/>
        <v/>
      </c>
      <c r="F13" s="57" t="str" cm="1">
        <f t="array" ref="F13">IF(E13&lt;&gt;"", ToGrade(E13), "")</f>
        <v/>
      </c>
      <c r="G13" s="58" t="str">
        <f>ENGLISH!L15</f>
        <v/>
      </c>
      <c r="H13" s="59" t="str" cm="1">
        <f t="array" ref="H13">IF(E13&lt;&gt;"", ToRemark(E13), "")</f>
        <v/>
      </c>
      <c r="I13" s="60"/>
      <c r="J13" s="55" t="str">
        <f>IFERROR(ROUND(MATHS!H15,0), "")</f>
        <v/>
      </c>
      <c r="K13" s="55" t="str">
        <f>IFERROR(ROUND(MATHS!J15,0), "")</f>
        <v/>
      </c>
      <c r="L13" s="56" t="str">
        <f t="shared" si="8"/>
        <v/>
      </c>
      <c r="M13" s="57" t="str" cm="1">
        <f t="array" ref="M13">IF(L13&lt;&gt;"", ToGrade(L13), "")</f>
        <v/>
      </c>
      <c r="N13" s="58" t="str">
        <f>MATHS!L15</f>
        <v/>
      </c>
      <c r="O13" s="59" t="str" cm="1">
        <f t="array" ref="O13">IF(L13&lt;&gt;"", ToRemark(L13), "")</f>
        <v/>
      </c>
      <c r="P13" s="60"/>
      <c r="Q13" s="57" t="str">
        <f>IFERROR(ROUND(SCIENCE!H15,0), "")</f>
        <v/>
      </c>
      <c r="R13" s="57" t="str">
        <f>IFERROR(ROUND(SCIENCE!J15,0), "")</f>
        <v/>
      </c>
      <c r="S13" s="56" t="str">
        <f t="shared" si="9"/>
        <v/>
      </c>
      <c r="T13" s="57" t="str" cm="1">
        <f t="array" ref="T13">IF(S13&lt;&gt;"", ToGrade(S13), "")</f>
        <v/>
      </c>
      <c r="U13" s="58" t="str">
        <f>SCIENCE!L15</f>
        <v/>
      </c>
      <c r="V13" s="59" t="str" cm="1">
        <f t="array" ref="V13">IF(S13&lt;&gt;"", ToRemark(S13), "")</f>
        <v/>
      </c>
      <c r="W13" s="60"/>
      <c r="X13" s="57" t="str">
        <f>IFERROR(ROUND(OWOP!H15,0), "")</f>
        <v/>
      </c>
      <c r="Y13" s="57" t="str">
        <f>IFERROR(ROUND(OWOP!J15,0), "")</f>
        <v/>
      </c>
      <c r="Z13" s="56" t="str">
        <f t="shared" si="10"/>
        <v/>
      </c>
      <c r="AA13" s="57" t="str" cm="1">
        <f t="array" ref="AA13">IF(Z13&lt;&gt;"", ToGrade(Z13), "")</f>
        <v/>
      </c>
      <c r="AB13" s="58" t="str">
        <f>OWOP!L15</f>
        <v/>
      </c>
      <c r="AC13" s="59" t="str" cm="1">
        <f t="array" ref="AC13">IF(Z13&lt;&gt;"", ToRemark(Z13), "")</f>
        <v/>
      </c>
      <c r="AD13" s="60"/>
      <c r="AE13" s="57" t="str">
        <f>IFERROR(ROUND('C ARTS'!H15,0), "")</f>
        <v/>
      </c>
      <c r="AF13" s="57" t="str">
        <f>IFERROR(ROUND('C ARTS'!J15,0), "")</f>
        <v/>
      </c>
      <c r="AG13" s="56" t="str">
        <f t="shared" si="11"/>
        <v/>
      </c>
      <c r="AH13" s="57" t="str" cm="1">
        <f t="array" ref="AH13">IF(AG13&lt;&gt;"", ToGrade(AG13), "")</f>
        <v/>
      </c>
      <c r="AI13" s="58" t="str">
        <f>'C ARTS'!L15</f>
        <v/>
      </c>
      <c r="AJ13" s="59" t="str" cm="1">
        <f t="array" ref="AJ13">IF(AG13&lt;&gt;"", ToRemark(AG13), "")</f>
        <v/>
      </c>
      <c r="AK13" s="60"/>
      <c r="AL13" s="57" t="str">
        <f>IFERROR(ROUND('GH LANG'!H15,0), "")</f>
        <v/>
      </c>
      <c r="AM13" s="57" t="str">
        <f>IFERROR(ROUND('GH LANG'!J15,0), "")</f>
        <v/>
      </c>
      <c r="AN13" s="61" t="str">
        <f t="shared" si="12"/>
        <v/>
      </c>
      <c r="AO13" s="57" t="str" cm="1">
        <f t="array" ref="AO13">IF(AN13&lt;&gt;"", ToGrade(AN13), "")</f>
        <v/>
      </c>
      <c r="AP13" s="58" t="str">
        <f>'GH LANG'!L15</f>
        <v/>
      </c>
      <c r="AQ13" s="59" t="str" cm="1">
        <f t="array" ref="AQ13">IF(AN13&lt;&gt;"", ToRemark(AN13), "")</f>
        <v/>
      </c>
      <c r="AR13" s="60"/>
      <c r="AS13" s="57" t="str">
        <f>IFERROR(ROUND(COMPUTING!H15,0), "")</f>
        <v/>
      </c>
      <c r="AT13" s="57" t="str">
        <f>IFERROR(ROUND(COMPUTING!J15,0), "")</f>
        <v/>
      </c>
      <c r="AU13" s="56" t="str">
        <f t="shared" si="13"/>
        <v/>
      </c>
      <c r="AV13" s="57" t="str" cm="1">
        <f t="array" ref="AV13">IF(AU13&lt;&gt;"", ToGrade(AU13), "")</f>
        <v/>
      </c>
      <c r="AW13" s="58" t="str">
        <f>COMPUTING!L15</f>
        <v/>
      </c>
      <c r="AX13" s="59" t="str" cm="1">
        <f t="array" ref="AX13">IF(AU13&lt;&gt;"", ToRemark(AU13), "")</f>
        <v/>
      </c>
      <c r="AY13" s="62"/>
      <c r="AZ13" s="57" t="str">
        <f>IFERROR(ROUND(HISTERY!H15,0), "")</f>
        <v/>
      </c>
      <c r="BA13" s="57" t="str">
        <f>IFERROR(ROUND(HISTERY!J15,0), "")</f>
        <v/>
      </c>
      <c r="BB13" s="56" t="str">
        <f t="shared" si="14"/>
        <v/>
      </c>
      <c r="BC13" s="57" t="str" cm="1">
        <f t="array" ref="BC13">IF(BB13&lt;&gt;"", ToGrade(BB13), "")</f>
        <v/>
      </c>
      <c r="BD13" s="58" t="str">
        <f>HISTERY!L15</f>
        <v/>
      </c>
      <c r="BE13" s="59" t="str" cm="1">
        <f t="array" ref="BE13">IF(BB13&lt;&gt;"", ToRemark(BB13), "")</f>
        <v/>
      </c>
      <c r="BF13" s="60"/>
      <c r="BG13" s="57" t="str">
        <f>IFERROR(ROUND(RME!H15,0), "")</f>
        <v/>
      </c>
      <c r="BH13" s="57" t="str">
        <f>IFERROR(ROUND(RME!J15,0), "")</f>
        <v/>
      </c>
      <c r="BI13" s="56" t="str">
        <f t="shared" si="15"/>
        <v/>
      </c>
      <c r="BJ13" s="57" t="str" cm="1">
        <f t="array" ref="BJ13">IF(BI13&lt;&gt;"", ToGrade(BI13), "")</f>
        <v/>
      </c>
      <c r="BK13" s="58" t="str">
        <f>RME!L15</f>
        <v/>
      </c>
      <c r="BL13" s="59" t="str" cm="1">
        <f t="array" ref="BL13">IF(BI13&lt;&gt;"", ToRemark(BI13), "")</f>
        <v/>
      </c>
      <c r="BM13" s="74"/>
      <c r="BN13" s="97" t="str">
        <f t="shared" si="16"/>
        <v/>
      </c>
      <c r="BO13" s="106" t="str">
        <f t="shared" si="17"/>
        <v/>
      </c>
      <c r="BP13" s="98" t="str" cm="1">
        <f t="array" ref="BP13">IFERROR(OrdinalNumber(_xlfn.RANK.EQ(BN13,$BN$3:$BN$101)), "")</f>
        <v/>
      </c>
      <c r="BQ13" s="104"/>
      <c r="BR13" s="99"/>
      <c r="BS13" s="111"/>
      <c r="BT13" s="83" t="str" cm="1">
        <f t="array" ref="BT13">IF(LEN(B13)&lt;&gt;0, GetTeacherRemark(BO13), "")</f>
        <v/>
      </c>
      <c r="BU13" s="86" t="str">
        <f t="shared" si="0"/>
        <v/>
      </c>
      <c r="BV13" s="86" t="str">
        <f t="shared" si="1"/>
        <v/>
      </c>
      <c r="BW13" s="86" t="str">
        <f t="shared" si="2"/>
        <v/>
      </c>
      <c r="BX13" s="86" t="str">
        <f t="shared" si="3"/>
        <v/>
      </c>
      <c r="BY13" s="115" t="str">
        <f t="shared" si="4"/>
        <v/>
      </c>
      <c r="BZ13" s="87" t="str">
        <f t="shared" si="5"/>
        <v/>
      </c>
      <c r="CA13" s="86" t="str">
        <f t="shared" si="6"/>
        <v/>
      </c>
      <c r="CB13" s="85"/>
    </row>
    <row r="14" spans="1:85" x14ac:dyDescent="0.25">
      <c r="A14" s="53" t="str">
        <v>12</v>
      </c>
      <c r="B14" s="54" t="str">
        <v/>
      </c>
      <c r="C14" s="55" t="str">
        <f>IFERROR(ROUND(ENGLISH!H16,0), "")</f>
        <v/>
      </c>
      <c r="D14" s="55" t="str">
        <f>IFERROR(ROUND(ENGLISH!J16,0), "")</f>
        <v/>
      </c>
      <c r="E14" s="56" t="str">
        <f t="shared" si="7"/>
        <v/>
      </c>
      <c r="F14" s="57" t="str" cm="1">
        <f t="array" ref="F14">IF(E14&lt;&gt;"", ToGrade(E14), "")</f>
        <v/>
      </c>
      <c r="G14" s="58" t="str">
        <f>ENGLISH!L16</f>
        <v/>
      </c>
      <c r="H14" s="59" t="str" cm="1">
        <f t="array" ref="H14">IF(E14&lt;&gt;"", ToRemark(E14), "")</f>
        <v/>
      </c>
      <c r="I14" s="60"/>
      <c r="J14" s="55" t="str">
        <f>IFERROR(ROUND(MATHS!H16,0), "")</f>
        <v/>
      </c>
      <c r="K14" s="55" t="str">
        <f>IFERROR(ROUND(MATHS!J16,0), "")</f>
        <v/>
      </c>
      <c r="L14" s="56" t="str">
        <f t="shared" si="8"/>
        <v/>
      </c>
      <c r="M14" s="57" t="str" cm="1">
        <f t="array" ref="M14">IF(L14&lt;&gt;"", ToGrade(L14), "")</f>
        <v/>
      </c>
      <c r="N14" s="58" t="str">
        <f>MATHS!L16</f>
        <v/>
      </c>
      <c r="O14" s="59" t="str" cm="1">
        <f t="array" ref="O14">IF(L14&lt;&gt;"", ToRemark(L14), "")</f>
        <v/>
      </c>
      <c r="P14" s="60"/>
      <c r="Q14" s="57" t="str">
        <f>IFERROR(ROUND(SCIENCE!H16,0), "")</f>
        <v/>
      </c>
      <c r="R14" s="57" t="str">
        <f>IFERROR(ROUND(SCIENCE!J16,0), "")</f>
        <v/>
      </c>
      <c r="S14" s="56" t="str">
        <f t="shared" si="9"/>
        <v/>
      </c>
      <c r="T14" s="57" t="str" cm="1">
        <f t="array" ref="T14">IF(S14&lt;&gt;"", ToGrade(S14), "")</f>
        <v/>
      </c>
      <c r="U14" s="58" t="str">
        <f>SCIENCE!L16</f>
        <v/>
      </c>
      <c r="V14" s="59" t="str" cm="1">
        <f t="array" ref="V14">IF(S14&lt;&gt;"", ToRemark(S14), "")</f>
        <v/>
      </c>
      <c r="W14" s="60"/>
      <c r="X14" s="57" t="str">
        <f>IFERROR(ROUND(OWOP!H16,0), "")</f>
        <v/>
      </c>
      <c r="Y14" s="57" t="str">
        <f>IFERROR(ROUND(OWOP!J16,0), "")</f>
        <v/>
      </c>
      <c r="Z14" s="56" t="str">
        <f t="shared" si="10"/>
        <v/>
      </c>
      <c r="AA14" s="57" t="str" cm="1">
        <f t="array" ref="AA14">IF(Z14&lt;&gt;"", ToGrade(Z14), "")</f>
        <v/>
      </c>
      <c r="AB14" s="58" t="str">
        <f>OWOP!L16</f>
        <v/>
      </c>
      <c r="AC14" s="59" t="str" cm="1">
        <f t="array" ref="AC14">IF(Z14&lt;&gt;"", ToRemark(Z14), "")</f>
        <v/>
      </c>
      <c r="AD14" s="60"/>
      <c r="AE14" s="57" t="str">
        <f>IFERROR(ROUND('C ARTS'!H16,0), "")</f>
        <v/>
      </c>
      <c r="AF14" s="57" t="str">
        <f>IFERROR(ROUND('C ARTS'!J16,0), "")</f>
        <v/>
      </c>
      <c r="AG14" s="56" t="str">
        <f t="shared" si="11"/>
        <v/>
      </c>
      <c r="AH14" s="57" t="str" cm="1">
        <f t="array" ref="AH14">IF(AG14&lt;&gt;"", ToGrade(AG14), "")</f>
        <v/>
      </c>
      <c r="AI14" s="58" t="str">
        <f>'C ARTS'!L16</f>
        <v/>
      </c>
      <c r="AJ14" s="59" t="str" cm="1">
        <f t="array" ref="AJ14">IF(AG14&lt;&gt;"", ToRemark(AG14), "")</f>
        <v/>
      </c>
      <c r="AK14" s="60"/>
      <c r="AL14" s="57" t="str">
        <f>IFERROR(ROUND('GH LANG'!H16,0), "")</f>
        <v/>
      </c>
      <c r="AM14" s="57" t="str">
        <f>IFERROR(ROUND('GH LANG'!J16,0), "")</f>
        <v/>
      </c>
      <c r="AN14" s="61" t="str">
        <f t="shared" si="12"/>
        <v/>
      </c>
      <c r="AO14" s="57" t="str" cm="1">
        <f t="array" ref="AO14">IF(AN14&lt;&gt;"", ToGrade(AN14), "")</f>
        <v/>
      </c>
      <c r="AP14" s="58" t="str">
        <f>'GH LANG'!L16</f>
        <v/>
      </c>
      <c r="AQ14" s="59" t="str" cm="1">
        <f t="array" ref="AQ14">IF(AN14&lt;&gt;"", ToRemark(AN14), "")</f>
        <v/>
      </c>
      <c r="AR14" s="60"/>
      <c r="AS14" s="57" t="str">
        <f>IFERROR(ROUND(COMPUTING!H16,0), "")</f>
        <v/>
      </c>
      <c r="AT14" s="57" t="str">
        <f>IFERROR(ROUND(COMPUTING!J16,0), "")</f>
        <v/>
      </c>
      <c r="AU14" s="56" t="str">
        <f t="shared" si="13"/>
        <v/>
      </c>
      <c r="AV14" s="57" t="str" cm="1">
        <f t="array" ref="AV14">IF(AU14&lt;&gt;"", ToGrade(AU14), "")</f>
        <v/>
      </c>
      <c r="AW14" s="58" t="str">
        <f>COMPUTING!L16</f>
        <v/>
      </c>
      <c r="AX14" s="59" t="str" cm="1">
        <f t="array" ref="AX14">IF(AU14&lt;&gt;"", ToRemark(AU14), "")</f>
        <v/>
      </c>
      <c r="AY14" s="62"/>
      <c r="AZ14" s="57" t="str">
        <f>IFERROR(ROUND(HISTERY!H16,0), "")</f>
        <v/>
      </c>
      <c r="BA14" s="57" t="str">
        <f>IFERROR(ROUND(HISTERY!J16,0), "")</f>
        <v/>
      </c>
      <c r="BB14" s="56" t="str">
        <f t="shared" si="14"/>
        <v/>
      </c>
      <c r="BC14" s="57" t="str" cm="1">
        <f t="array" ref="BC14">IF(BB14&lt;&gt;"", ToGrade(BB14), "")</f>
        <v/>
      </c>
      <c r="BD14" s="58" t="str">
        <f>HISTERY!L16</f>
        <v/>
      </c>
      <c r="BE14" s="59" t="str" cm="1">
        <f t="array" ref="BE14">IF(BB14&lt;&gt;"", ToRemark(BB14), "")</f>
        <v/>
      </c>
      <c r="BF14" s="60"/>
      <c r="BG14" s="57" t="str">
        <f>IFERROR(ROUND(RME!H16,0), "")</f>
        <v/>
      </c>
      <c r="BH14" s="57" t="str">
        <f>IFERROR(ROUND(RME!J16,0), "")</f>
        <v/>
      </c>
      <c r="BI14" s="56" t="str">
        <f t="shared" si="15"/>
        <v/>
      </c>
      <c r="BJ14" s="57" t="str" cm="1">
        <f t="array" ref="BJ14">IF(BI14&lt;&gt;"", ToGrade(BI14), "")</f>
        <v/>
      </c>
      <c r="BK14" s="58" t="str">
        <f>RME!L16</f>
        <v/>
      </c>
      <c r="BL14" s="59" t="str" cm="1">
        <f t="array" ref="BL14">IF(BI14&lt;&gt;"", ToRemark(BI14), "")</f>
        <v/>
      </c>
      <c r="BM14" s="74"/>
      <c r="BN14" s="97" t="str">
        <f t="shared" si="16"/>
        <v/>
      </c>
      <c r="BO14" s="106" t="str">
        <f t="shared" si="17"/>
        <v/>
      </c>
      <c r="BP14" s="98" t="str" cm="1">
        <f t="array" ref="BP14">IFERROR(OrdinalNumber(_xlfn.RANK.EQ(BN14,$BN$3:$BN$101)), "")</f>
        <v/>
      </c>
      <c r="BQ14" s="104"/>
      <c r="BR14" s="99"/>
      <c r="BS14" s="111"/>
      <c r="BT14" s="83" t="str" cm="1">
        <f t="array" ref="BT14">IF(LEN(B14)&lt;&gt;0, GetTeacherRemark(BO14), "")</f>
        <v/>
      </c>
      <c r="BU14" s="86" t="str">
        <f t="shared" si="0"/>
        <v/>
      </c>
      <c r="BV14" s="86" t="str">
        <f t="shared" si="1"/>
        <v/>
      </c>
      <c r="BW14" s="86" t="str">
        <f t="shared" si="2"/>
        <v/>
      </c>
      <c r="BX14" s="86" t="str">
        <f t="shared" si="3"/>
        <v/>
      </c>
      <c r="BY14" s="115" t="str">
        <f t="shared" si="4"/>
        <v/>
      </c>
      <c r="BZ14" s="87" t="str">
        <f t="shared" si="5"/>
        <v/>
      </c>
      <c r="CA14" s="86" t="str">
        <f t="shared" si="6"/>
        <v/>
      </c>
      <c r="CB14" s="85"/>
    </row>
    <row r="15" spans="1:85" x14ac:dyDescent="0.25">
      <c r="A15" s="53" t="str">
        <v>13</v>
      </c>
      <c r="B15" s="54" t="str">
        <v/>
      </c>
      <c r="C15" s="55" t="str">
        <f>IFERROR(ROUND(ENGLISH!H17,0), "")</f>
        <v/>
      </c>
      <c r="D15" s="55" t="str">
        <f>IFERROR(ROUND(ENGLISH!J17,0), "")</f>
        <v/>
      </c>
      <c r="E15" s="56" t="str">
        <f t="shared" si="7"/>
        <v/>
      </c>
      <c r="F15" s="57" t="str" cm="1">
        <f t="array" ref="F15">IF(E15&lt;&gt;"", ToGrade(E15), "")</f>
        <v/>
      </c>
      <c r="G15" s="58" t="str">
        <f>ENGLISH!L17</f>
        <v/>
      </c>
      <c r="H15" s="59" t="str" cm="1">
        <f t="array" ref="H15">IF(E15&lt;&gt;"", ToRemark(E15), "")</f>
        <v/>
      </c>
      <c r="I15" s="60"/>
      <c r="J15" s="55" t="str">
        <f>IFERROR(ROUND(MATHS!H17,0), "")</f>
        <v/>
      </c>
      <c r="K15" s="55" t="str">
        <f>IFERROR(ROUND(MATHS!J17,0), "")</f>
        <v/>
      </c>
      <c r="L15" s="56" t="str">
        <f t="shared" si="8"/>
        <v/>
      </c>
      <c r="M15" s="57" t="str" cm="1">
        <f t="array" ref="M15">IF(L15&lt;&gt;"", ToGrade(L15), "")</f>
        <v/>
      </c>
      <c r="N15" s="58" t="str">
        <f>MATHS!L17</f>
        <v/>
      </c>
      <c r="O15" s="59" t="str" cm="1">
        <f t="array" ref="O15">IF(L15&lt;&gt;"", ToRemark(L15), "")</f>
        <v/>
      </c>
      <c r="P15" s="60"/>
      <c r="Q15" s="57" t="str">
        <f>IFERROR(ROUND(SCIENCE!H17,0), "")</f>
        <v/>
      </c>
      <c r="R15" s="57" t="str">
        <f>IFERROR(ROUND(SCIENCE!J17,0), "")</f>
        <v/>
      </c>
      <c r="S15" s="56" t="str">
        <f t="shared" si="9"/>
        <v/>
      </c>
      <c r="T15" s="57" t="str" cm="1">
        <f t="array" ref="T15">IF(S15&lt;&gt;"", ToGrade(S15), "")</f>
        <v/>
      </c>
      <c r="U15" s="58" t="str">
        <f>SCIENCE!L17</f>
        <v/>
      </c>
      <c r="V15" s="59" t="str" cm="1">
        <f t="array" ref="V15">IF(S15&lt;&gt;"", ToRemark(S15), "")</f>
        <v/>
      </c>
      <c r="W15" s="60"/>
      <c r="X15" s="57" t="str">
        <f>IFERROR(ROUND(OWOP!H17,0), "")</f>
        <v/>
      </c>
      <c r="Y15" s="57" t="str">
        <f>IFERROR(ROUND(OWOP!J17,0), "")</f>
        <v/>
      </c>
      <c r="Z15" s="56" t="str">
        <f t="shared" si="10"/>
        <v/>
      </c>
      <c r="AA15" s="57" t="str" cm="1">
        <f t="array" ref="AA15">IF(Z15&lt;&gt;"", ToGrade(Z15), "")</f>
        <v/>
      </c>
      <c r="AB15" s="58" t="str">
        <f>OWOP!L17</f>
        <v/>
      </c>
      <c r="AC15" s="59" t="str" cm="1">
        <f t="array" ref="AC15">IF(Z15&lt;&gt;"", ToRemark(Z15), "")</f>
        <v/>
      </c>
      <c r="AD15" s="60"/>
      <c r="AE15" s="57" t="str">
        <f>IFERROR(ROUND('C ARTS'!H17,0), "")</f>
        <v/>
      </c>
      <c r="AF15" s="57" t="str">
        <f>IFERROR(ROUND('C ARTS'!J17,0), "")</f>
        <v/>
      </c>
      <c r="AG15" s="56" t="str">
        <f t="shared" si="11"/>
        <v/>
      </c>
      <c r="AH15" s="57" t="str" cm="1">
        <f t="array" ref="AH15">IF(AG15&lt;&gt;"", ToGrade(AG15), "")</f>
        <v/>
      </c>
      <c r="AI15" s="58" t="str">
        <f>'C ARTS'!L17</f>
        <v/>
      </c>
      <c r="AJ15" s="59" t="str" cm="1">
        <f t="array" ref="AJ15">IF(AG15&lt;&gt;"", ToRemark(AG15), "")</f>
        <v/>
      </c>
      <c r="AK15" s="60"/>
      <c r="AL15" s="57" t="str">
        <f>IFERROR(ROUND('GH LANG'!H17,0), "")</f>
        <v/>
      </c>
      <c r="AM15" s="57" t="str">
        <f>IFERROR(ROUND('GH LANG'!J17,0), "")</f>
        <v/>
      </c>
      <c r="AN15" s="61" t="str">
        <f t="shared" si="12"/>
        <v/>
      </c>
      <c r="AO15" s="57" t="str" cm="1">
        <f t="array" ref="AO15">IF(AN15&lt;&gt;"", ToGrade(AN15), "")</f>
        <v/>
      </c>
      <c r="AP15" s="58" t="str">
        <f>'GH LANG'!L17</f>
        <v/>
      </c>
      <c r="AQ15" s="59" t="str" cm="1">
        <f t="array" ref="AQ15">IF(AN15&lt;&gt;"", ToRemark(AN15), "")</f>
        <v/>
      </c>
      <c r="AR15" s="60"/>
      <c r="AS15" s="57" t="str">
        <f>IFERROR(ROUND(COMPUTING!H17,0), "")</f>
        <v/>
      </c>
      <c r="AT15" s="57" t="str">
        <f>IFERROR(ROUND(COMPUTING!J17,0), "")</f>
        <v/>
      </c>
      <c r="AU15" s="56" t="str">
        <f t="shared" si="13"/>
        <v/>
      </c>
      <c r="AV15" s="57" t="str" cm="1">
        <f t="array" ref="AV15">IF(AU15&lt;&gt;"", ToGrade(AU15), "")</f>
        <v/>
      </c>
      <c r="AW15" s="58" t="str">
        <f>COMPUTING!L17</f>
        <v/>
      </c>
      <c r="AX15" s="59" t="str" cm="1">
        <f t="array" ref="AX15">IF(AU15&lt;&gt;"", ToRemark(AU15), "")</f>
        <v/>
      </c>
      <c r="AY15" s="62"/>
      <c r="AZ15" s="57" t="str">
        <f>IFERROR(ROUND(HISTERY!H17,0), "")</f>
        <v/>
      </c>
      <c r="BA15" s="57" t="str">
        <f>IFERROR(ROUND(HISTERY!J17,0), "")</f>
        <v/>
      </c>
      <c r="BB15" s="56" t="str">
        <f t="shared" si="14"/>
        <v/>
      </c>
      <c r="BC15" s="57" t="str" cm="1">
        <f t="array" ref="BC15">IF(BB15&lt;&gt;"", ToGrade(BB15), "")</f>
        <v/>
      </c>
      <c r="BD15" s="58" t="str">
        <f>HISTERY!L17</f>
        <v/>
      </c>
      <c r="BE15" s="59" t="str" cm="1">
        <f t="array" ref="BE15">IF(BB15&lt;&gt;"", ToRemark(BB15), "")</f>
        <v/>
      </c>
      <c r="BF15" s="60"/>
      <c r="BG15" s="57" t="str">
        <f>IFERROR(ROUND(RME!H17,0), "")</f>
        <v/>
      </c>
      <c r="BH15" s="57" t="str">
        <f>IFERROR(ROUND(RME!J17,0), "")</f>
        <v/>
      </c>
      <c r="BI15" s="56" t="str">
        <f t="shared" si="15"/>
        <v/>
      </c>
      <c r="BJ15" s="57" t="str" cm="1">
        <f t="array" ref="BJ15">IF(BI15&lt;&gt;"", ToGrade(BI15), "")</f>
        <v/>
      </c>
      <c r="BK15" s="58" t="str">
        <f>RME!L17</f>
        <v/>
      </c>
      <c r="BL15" s="59" t="str" cm="1">
        <f t="array" ref="BL15">IF(BI15&lt;&gt;"", ToRemark(BI15), "")</f>
        <v/>
      </c>
      <c r="BM15" s="74"/>
      <c r="BN15" s="97" t="str">
        <f t="shared" si="16"/>
        <v/>
      </c>
      <c r="BO15" s="106" t="str">
        <f t="shared" si="17"/>
        <v/>
      </c>
      <c r="BP15" s="98" t="str" cm="1">
        <f t="array" ref="BP15">IFERROR(OrdinalNumber(_xlfn.RANK.EQ(BN15,$BN$3:$BN$101)), "")</f>
        <v/>
      </c>
      <c r="BQ15" s="104"/>
      <c r="BR15" s="99"/>
      <c r="BS15" s="111"/>
      <c r="BT15" s="83" t="str" cm="1">
        <f t="array" ref="BT15">IF(LEN(B15)&lt;&gt;0, GetTeacherRemark(BO15), "")</f>
        <v/>
      </c>
      <c r="BU15" s="86" t="str">
        <f t="shared" si="0"/>
        <v/>
      </c>
      <c r="BV15" s="86" t="str">
        <f t="shared" si="1"/>
        <v/>
      </c>
      <c r="BW15" s="86" t="str">
        <f t="shared" si="2"/>
        <v/>
      </c>
      <c r="BX15" s="86" t="str">
        <f t="shared" si="3"/>
        <v/>
      </c>
      <c r="BY15" s="115" t="str">
        <f t="shared" si="4"/>
        <v/>
      </c>
      <c r="BZ15" s="87" t="str">
        <f t="shared" si="5"/>
        <v/>
      </c>
      <c r="CA15" s="86" t="str">
        <f t="shared" si="6"/>
        <v/>
      </c>
      <c r="CB15" s="85"/>
    </row>
    <row r="16" spans="1:85" x14ac:dyDescent="0.25">
      <c r="A16" s="53" t="str">
        <v>14</v>
      </c>
      <c r="B16" s="54" t="str">
        <v/>
      </c>
      <c r="C16" s="55" t="str">
        <f>IFERROR(ROUND(ENGLISH!H18,0), "")</f>
        <v/>
      </c>
      <c r="D16" s="55" t="str">
        <f>IFERROR(ROUND(ENGLISH!J18,0), "")</f>
        <v/>
      </c>
      <c r="E16" s="56" t="str">
        <f t="shared" si="7"/>
        <v/>
      </c>
      <c r="F16" s="57" t="str" cm="1">
        <f t="array" ref="F16">IF(E16&lt;&gt;"", ToGrade(E16), "")</f>
        <v/>
      </c>
      <c r="G16" s="58" t="str">
        <f>ENGLISH!L18</f>
        <v/>
      </c>
      <c r="H16" s="59" t="str" cm="1">
        <f t="array" ref="H16">IF(E16&lt;&gt;"", ToRemark(E16), "")</f>
        <v/>
      </c>
      <c r="I16" s="60"/>
      <c r="J16" s="55" t="str">
        <f>IFERROR(ROUND(MATHS!H18,0), "")</f>
        <v/>
      </c>
      <c r="K16" s="55" t="str">
        <f>IFERROR(ROUND(MATHS!J18,0), "")</f>
        <v/>
      </c>
      <c r="L16" s="56" t="str">
        <f t="shared" si="8"/>
        <v/>
      </c>
      <c r="M16" s="57" t="str" cm="1">
        <f t="array" ref="M16">IF(L16&lt;&gt;"", ToGrade(L16), "")</f>
        <v/>
      </c>
      <c r="N16" s="58" t="str">
        <f>MATHS!L18</f>
        <v/>
      </c>
      <c r="O16" s="59" t="str" cm="1">
        <f t="array" ref="O16">IF(L16&lt;&gt;"", ToRemark(L16), "")</f>
        <v/>
      </c>
      <c r="P16" s="60"/>
      <c r="Q16" s="57" t="str">
        <f>IFERROR(ROUND(SCIENCE!H18,0), "")</f>
        <v/>
      </c>
      <c r="R16" s="57" t="str">
        <f>IFERROR(ROUND(SCIENCE!J18,0), "")</f>
        <v/>
      </c>
      <c r="S16" s="56" t="str">
        <f t="shared" si="9"/>
        <v/>
      </c>
      <c r="T16" s="57" t="str" cm="1">
        <f t="array" ref="T16">IF(S16&lt;&gt;"", ToGrade(S16), "")</f>
        <v/>
      </c>
      <c r="U16" s="58" t="str">
        <f>SCIENCE!L18</f>
        <v/>
      </c>
      <c r="V16" s="59" t="str" cm="1">
        <f t="array" ref="V16">IF(S16&lt;&gt;"", ToRemark(S16), "")</f>
        <v/>
      </c>
      <c r="W16" s="60"/>
      <c r="X16" s="57" t="str">
        <f>IFERROR(ROUND(OWOP!H18,0), "")</f>
        <v/>
      </c>
      <c r="Y16" s="57" t="str">
        <f>IFERROR(ROUND(OWOP!J18,0), "")</f>
        <v/>
      </c>
      <c r="Z16" s="56" t="str">
        <f t="shared" si="10"/>
        <v/>
      </c>
      <c r="AA16" s="57" t="str" cm="1">
        <f t="array" ref="AA16">IF(Z16&lt;&gt;"", ToGrade(Z16), "")</f>
        <v/>
      </c>
      <c r="AB16" s="58" t="str">
        <f>OWOP!L18</f>
        <v/>
      </c>
      <c r="AC16" s="59" t="str" cm="1">
        <f t="array" ref="AC16">IF(Z16&lt;&gt;"", ToRemark(Z16), "")</f>
        <v/>
      </c>
      <c r="AD16" s="60"/>
      <c r="AE16" s="57" t="str">
        <f>IFERROR(ROUND('C ARTS'!H18,0), "")</f>
        <v/>
      </c>
      <c r="AF16" s="57" t="str">
        <f>IFERROR(ROUND('C ARTS'!J18,0), "")</f>
        <v/>
      </c>
      <c r="AG16" s="56" t="str">
        <f t="shared" si="11"/>
        <v/>
      </c>
      <c r="AH16" s="57" t="str" cm="1">
        <f t="array" ref="AH16">IF(AG16&lt;&gt;"", ToGrade(AG16), "")</f>
        <v/>
      </c>
      <c r="AI16" s="58" t="str">
        <f>'C ARTS'!L18</f>
        <v/>
      </c>
      <c r="AJ16" s="59" t="str" cm="1">
        <f t="array" ref="AJ16">IF(AG16&lt;&gt;"", ToRemark(AG16), "")</f>
        <v/>
      </c>
      <c r="AK16" s="60"/>
      <c r="AL16" s="57" t="str">
        <f>IFERROR(ROUND('GH LANG'!H18,0), "")</f>
        <v/>
      </c>
      <c r="AM16" s="57" t="str">
        <f>IFERROR(ROUND('GH LANG'!J18,0), "")</f>
        <v/>
      </c>
      <c r="AN16" s="61" t="str">
        <f t="shared" si="12"/>
        <v/>
      </c>
      <c r="AO16" s="57" t="str" cm="1">
        <f t="array" ref="AO16">IF(AN16&lt;&gt;"", ToGrade(AN16), "")</f>
        <v/>
      </c>
      <c r="AP16" s="58" t="str">
        <f>'GH LANG'!L18</f>
        <v/>
      </c>
      <c r="AQ16" s="59" t="str" cm="1">
        <f t="array" ref="AQ16">IF(AN16&lt;&gt;"", ToRemark(AN16), "")</f>
        <v/>
      </c>
      <c r="AR16" s="60"/>
      <c r="AS16" s="57" t="str">
        <f>IFERROR(ROUND(COMPUTING!H18,0), "")</f>
        <v/>
      </c>
      <c r="AT16" s="57" t="str">
        <f>IFERROR(ROUND(COMPUTING!J18,0), "")</f>
        <v/>
      </c>
      <c r="AU16" s="56" t="str">
        <f t="shared" si="13"/>
        <v/>
      </c>
      <c r="AV16" s="57" t="str" cm="1">
        <f t="array" ref="AV16">IF(AU16&lt;&gt;"", ToGrade(AU16), "")</f>
        <v/>
      </c>
      <c r="AW16" s="58" t="str">
        <f>COMPUTING!L18</f>
        <v/>
      </c>
      <c r="AX16" s="59" t="str" cm="1">
        <f t="array" ref="AX16">IF(AU16&lt;&gt;"", ToRemark(AU16), "")</f>
        <v/>
      </c>
      <c r="AY16" s="62"/>
      <c r="AZ16" s="57" t="str">
        <f>IFERROR(ROUND(HISTERY!H18,0), "")</f>
        <v/>
      </c>
      <c r="BA16" s="57" t="str">
        <f>IFERROR(ROUND(HISTERY!J18,0), "")</f>
        <v/>
      </c>
      <c r="BB16" s="56" t="str">
        <f t="shared" si="14"/>
        <v/>
      </c>
      <c r="BC16" s="57" t="str" cm="1">
        <f t="array" ref="BC16">IF(BB16&lt;&gt;"", ToGrade(BB16), "")</f>
        <v/>
      </c>
      <c r="BD16" s="58" t="str">
        <f>HISTERY!L18</f>
        <v/>
      </c>
      <c r="BE16" s="59" t="str" cm="1">
        <f t="array" ref="BE16">IF(BB16&lt;&gt;"", ToRemark(BB16), "")</f>
        <v/>
      </c>
      <c r="BF16" s="60"/>
      <c r="BG16" s="57" t="str">
        <f>IFERROR(ROUND(RME!H18,0), "")</f>
        <v/>
      </c>
      <c r="BH16" s="57" t="str">
        <f>IFERROR(ROUND(RME!J18,0), "")</f>
        <v/>
      </c>
      <c r="BI16" s="56" t="str">
        <f t="shared" si="15"/>
        <v/>
      </c>
      <c r="BJ16" s="57" t="str" cm="1">
        <f t="array" ref="BJ16">IF(BI16&lt;&gt;"", ToGrade(BI16), "")</f>
        <v/>
      </c>
      <c r="BK16" s="58" t="str">
        <f>RME!L18</f>
        <v/>
      </c>
      <c r="BL16" s="59" t="str" cm="1">
        <f t="array" ref="BL16">IF(BI16&lt;&gt;"", ToRemark(BI16), "")</f>
        <v/>
      </c>
      <c r="BM16" s="74"/>
      <c r="BN16" s="97" t="str">
        <f t="shared" si="16"/>
        <v/>
      </c>
      <c r="BO16" s="106" t="str">
        <f t="shared" si="17"/>
        <v/>
      </c>
      <c r="BP16" s="98" t="str" cm="1">
        <f t="array" ref="BP16">IFERROR(OrdinalNumber(_xlfn.RANK.EQ(BN16,$BN$3:$BN$101)), "")</f>
        <v/>
      </c>
      <c r="BQ16" s="104"/>
      <c r="BR16" s="99"/>
      <c r="BS16" s="111"/>
      <c r="BT16" s="83" t="str" cm="1">
        <f t="array" ref="BT16">IF(LEN(B16)&lt;&gt;0, GetTeacherRemark(BO16), "")</f>
        <v/>
      </c>
      <c r="BU16" s="86" t="str">
        <f t="shared" si="0"/>
        <v/>
      </c>
      <c r="BV16" s="86" t="str">
        <f t="shared" si="1"/>
        <v/>
      </c>
      <c r="BW16" s="86" t="str">
        <f t="shared" si="2"/>
        <v/>
      </c>
      <c r="BX16" s="86" t="str">
        <f t="shared" si="3"/>
        <v/>
      </c>
      <c r="BY16" s="115" t="str">
        <f t="shared" si="4"/>
        <v/>
      </c>
      <c r="BZ16" s="87" t="str">
        <f t="shared" si="5"/>
        <v/>
      </c>
      <c r="CA16" s="86" t="str">
        <f t="shared" si="6"/>
        <v/>
      </c>
      <c r="CB16" s="85"/>
    </row>
    <row r="17" spans="1:80" x14ac:dyDescent="0.25">
      <c r="A17" s="53" t="str">
        <v>15</v>
      </c>
      <c r="B17" s="54" t="str">
        <v/>
      </c>
      <c r="C17" s="55" t="str">
        <f>IFERROR(ROUND(ENGLISH!H19,0), "")</f>
        <v/>
      </c>
      <c r="D17" s="55" t="str">
        <f>IFERROR(ROUND(ENGLISH!J19,0), "")</f>
        <v/>
      </c>
      <c r="E17" s="56" t="str">
        <f t="shared" si="7"/>
        <v/>
      </c>
      <c r="F17" s="57" t="str" cm="1">
        <f t="array" ref="F17">IF(E17&lt;&gt;"", ToGrade(E17), "")</f>
        <v/>
      </c>
      <c r="G17" s="58" t="str">
        <f>ENGLISH!L19</f>
        <v/>
      </c>
      <c r="H17" s="59" t="str" cm="1">
        <f t="array" ref="H17">IF(E17&lt;&gt;"", ToRemark(E17), "")</f>
        <v/>
      </c>
      <c r="I17" s="60"/>
      <c r="J17" s="55" t="str">
        <f>IFERROR(ROUND(MATHS!H19,0), "")</f>
        <v/>
      </c>
      <c r="K17" s="55" t="str">
        <f>IFERROR(ROUND(MATHS!J19,0), "")</f>
        <v/>
      </c>
      <c r="L17" s="56" t="str">
        <f t="shared" si="8"/>
        <v/>
      </c>
      <c r="M17" s="57" t="str" cm="1">
        <f t="array" ref="M17">IF(L17&lt;&gt;"", ToGrade(L17), "")</f>
        <v/>
      </c>
      <c r="N17" s="58" t="str">
        <f>MATHS!L19</f>
        <v/>
      </c>
      <c r="O17" s="59" t="str" cm="1">
        <f t="array" ref="O17">IF(L17&lt;&gt;"", ToRemark(L17), "")</f>
        <v/>
      </c>
      <c r="P17" s="60"/>
      <c r="Q17" s="57" t="str">
        <f>IFERROR(ROUND(SCIENCE!H19,0), "")</f>
        <v/>
      </c>
      <c r="R17" s="57" t="str">
        <f>IFERROR(ROUND(SCIENCE!J19,0), "")</f>
        <v/>
      </c>
      <c r="S17" s="56" t="str">
        <f t="shared" si="9"/>
        <v/>
      </c>
      <c r="T17" s="57" t="str" cm="1">
        <f t="array" ref="T17">IF(S17&lt;&gt;"", ToGrade(S17), "")</f>
        <v/>
      </c>
      <c r="U17" s="58" t="str">
        <f>SCIENCE!L19</f>
        <v/>
      </c>
      <c r="V17" s="59" t="str" cm="1">
        <f t="array" ref="V17">IF(S17&lt;&gt;"", ToRemark(S17), "")</f>
        <v/>
      </c>
      <c r="W17" s="60"/>
      <c r="X17" s="57" t="str">
        <f>IFERROR(ROUND(OWOP!H19,0), "")</f>
        <v/>
      </c>
      <c r="Y17" s="57" t="str">
        <f>IFERROR(ROUND(OWOP!J19,0), "")</f>
        <v/>
      </c>
      <c r="Z17" s="56" t="str">
        <f t="shared" si="10"/>
        <v/>
      </c>
      <c r="AA17" s="57" t="str" cm="1">
        <f t="array" ref="AA17">IF(Z17&lt;&gt;"", ToGrade(Z17), "")</f>
        <v/>
      </c>
      <c r="AB17" s="58" t="str">
        <f>OWOP!L19</f>
        <v/>
      </c>
      <c r="AC17" s="59" t="str" cm="1">
        <f t="array" ref="AC17">IF(Z17&lt;&gt;"", ToRemark(Z17), "")</f>
        <v/>
      </c>
      <c r="AD17" s="60"/>
      <c r="AE17" s="57" t="str">
        <f>IFERROR(ROUND('C ARTS'!H19,0), "")</f>
        <v/>
      </c>
      <c r="AF17" s="57" t="str">
        <f>IFERROR(ROUND('C ARTS'!J19,0), "")</f>
        <v/>
      </c>
      <c r="AG17" s="56" t="str">
        <f t="shared" si="11"/>
        <v/>
      </c>
      <c r="AH17" s="57" t="str" cm="1">
        <f t="array" ref="AH17">IF(AG17&lt;&gt;"", ToGrade(AG17), "")</f>
        <v/>
      </c>
      <c r="AI17" s="58" t="str">
        <f>'C ARTS'!L19</f>
        <v/>
      </c>
      <c r="AJ17" s="59" t="str" cm="1">
        <f t="array" ref="AJ17">IF(AG17&lt;&gt;"", ToRemark(AG17), "")</f>
        <v/>
      </c>
      <c r="AK17" s="60"/>
      <c r="AL17" s="57" t="str">
        <f>IFERROR(ROUND('GH LANG'!H19,0), "")</f>
        <v/>
      </c>
      <c r="AM17" s="57" t="str">
        <f>IFERROR(ROUND('GH LANG'!J19,0), "")</f>
        <v/>
      </c>
      <c r="AN17" s="61" t="str">
        <f t="shared" si="12"/>
        <v/>
      </c>
      <c r="AO17" s="57" t="str" cm="1">
        <f t="array" ref="AO17">IF(AN17&lt;&gt;"", ToGrade(AN17), "")</f>
        <v/>
      </c>
      <c r="AP17" s="58" t="str">
        <f>'GH LANG'!L19</f>
        <v/>
      </c>
      <c r="AQ17" s="59" t="str" cm="1">
        <f t="array" ref="AQ17">IF(AN17&lt;&gt;"", ToRemark(AN17), "")</f>
        <v/>
      </c>
      <c r="AR17" s="60"/>
      <c r="AS17" s="57" t="str">
        <f>IFERROR(ROUND(COMPUTING!H19,0), "")</f>
        <v/>
      </c>
      <c r="AT17" s="57" t="str">
        <f>IFERROR(ROUND(COMPUTING!J19,0), "")</f>
        <v/>
      </c>
      <c r="AU17" s="56" t="str">
        <f t="shared" si="13"/>
        <v/>
      </c>
      <c r="AV17" s="57" t="str" cm="1">
        <f t="array" ref="AV17">IF(AU17&lt;&gt;"", ToGrade(AU17), "")</f>
        <v/>
      </c>
      <c r="AW17" s="58" t="str">
        <f>COMPUTING!L19</f>
        <v/>
      </c>
      <c r="AX17" s="59" t="str" cm="1">
        <f t="array" ref="AX17">IF(AU17&lt;&gt;"", ToRemark(AU17), "")</f>
        <v/>
      </c>
      <c r="AY17" s="62"/>
      <c r="AZ17" s="57" t="str">
        <f>IFERROR(ROUND(HISTERY!H19,0), "")</f>
        <v/>
      </c>
      <c r="BA17" s="57" t="str">
        <f>IFERROR(ROUND(HISTERY!J19,0), "")</f>
        <v/>
      </c>
      <c r="BB17" s="56" t="str">
        <f t="shared" si="14"/>
        <v/>
      </c>
      <c r="BC17" s="57" t="str" cm="1">
        <f t="array" ref="BC17">IF(BB17&lt;&gt;"", ToGrade(BB17), "")</f>
        <v/>
      </c>
      <c r="BD17" s="58" t="str">
        <f>HISTERY!L19</f>
        <v/>
      </c>
      <c r="BE17" s="59" t="str" cm="1">
        <f t="array" ref="BE17">IF(BB17&lt;&gt;"", ToRemark(BB17), "")</f>
        <v/>
      </c>
      <c r="BF17" s="60"/>
      <c r="BG17" s="57" t="str">
        <f>IFERROR(ROUND(RME!H19,0), "")</f>
        <v/>
      </c>
      <c r="BH17" s="57" t="str">
        <f>IFERROR(ROUND(RME!J19,0), "")</f>
        <v/>
      </c>
      <c r="BI17" s="56" t="str">
        <f t="shared" si="15"/>
        <v/>
      </c>
      <c r="BJ17" s="57" t="str" cm="1">
        <f t="array" ref="BJ17">IF(BI17&lt;&gt;"", ToGrade(BI17), "")</f>
        <v/>
      </c>
      <c r="BK17" s="58" t="str">
        <f>RME!L19</f>
        <v/>
      </c>
      <c r="BL17" s="59" t="str" cm="1">
        <f t="array" ref="BL17">IF(BI17&lt;&gt;"", ToRemark(BI17), "")</f>
        <v/>
      </c>
      <c r="BM17" s="74"/>
      <c r="BN17" s="97" t="str">
        <f t="shared" si="16"/>
        <v/>
      </c>
      <c r="BO17" s="106" t="str">
        <f t="shared" si="17"/>
        <v/>
      </c>
      <c r="BP17" s="98" t="str" cm="1">
        <f t="array" ref="BP17">IFERROR(OrdinalNumber(_xlfn.RANK.EQ(BN17,$BN$3:$BN$101)), "")</f>
        <v/>
      </c>
      <c r="BQ17" s="104"/>
      <c r="BR17" s="99"/>
      <c r="BS17" s="111"/>
      <c r="BT17" s="83" t="str" cm="1">
        <f t="array" ref="BT17">IF(LEN(B17)&lt;&gt;0, GetTeacherRemark(BO17), "")</f>
        <v/>
      </c>
      <c r="BU17" s="86" t="str">
        <f t="shared" si="0"/>
        <v/>
      </c>
      <c r="BV17" s="86" t="str">
        <f t="shared" si="1"/>
        <v/>
      </c>
      <c r="BW17" s="86" t="str">
        <f t="shared" si="2"/>
        <v/>
      </c>
      <c r="BX17" s="86" t="str">
        <f t="shared" si="3"/>
        <v/>
      </c>
      <c r="BY17" s="115" t="str">
        <f t="shared" si="4"/>
        <v/>
      </c>
      <c r="BZ17" s="87" t="str">
        <f t="shared" si="5"/>
        <v/>
      </c>
      <c r="CA17" s="86" t="str">
        <f t="shared" si="6"/>
        <v/>
      </c>
      <c r="CB17" s="85"/>
    </row>
    <row r="18" spans="1:80" x14ac:dyDescent="0.25">
      <c r="A18" s="53" t="str">
        <v>16</v>
      </c>
      <c r="B18" s="54" t="str">
        <v/>
      </c>
      <c r="C18" s="55" t="str">
        <f>IFERROR(ROUND(ENGLISH!H20,0), "")</f>
        <v/>
      </c>
      <c r="D18" s="55" t="str">
        <f>IFERROR(ROUND(ENGLISH!J20,0), "")</f>
        <v/>
      </c>
      <c r="E18" s="56" t="str">
        <f t="shared" si="7"/>
        <v/>
      </c>
      <c r="F18" s="57" t="str" cm="1">
        <f t="array" ref="F18">IF(E18&lt;&gt;"", ToGrade(E18), "")</f>
        <v/>
      </c>
      <c r="G18" s="58" t="str">
        <f>ENGLISH!L20</f>
        <v/>
      </c>
      <c r="H18" s="59" t="str" cm="1">
        <f t="array" ref="H18">IF(E18&lt;&gt;"", ToRemark(E18), "")</f>
        <v/>
      </c>
      <c r="I18" s="60"/>
      <c r="J18" s="55" t="str">
        <f>IFERROR(ROUND(MATHS!H20,0), "")</f>
        <v/>
      </c>
      <c r="K18" s="55" t="str">
        <f>IFERROR(ROUND(MATHS!J20,0), "")</f>
        <v/>
      </c>
      <c r="L18" s="56" t="str">
        <f t="shared" si="8"/>
        <v/>
      </c>
      <c r="M18" s="57" t="str" cm="1">
        <f t="array" ref="M18">IF(L18&lt;&gt;"", ToGrade(L18), "")</f>
        <v/>
      </c>
      <c r="N18" s="58" t="str">
        <f>MATHS!L20</f>
        <v/>
      </c>
      <c r="O18" s="59" t="str" cm="1">
        <f t="array" ref="O18">IF(L18&lt;&gt;"", ToRemark(L18), "")</f>
        <v/>
      </c>
      <c r="P18" s="60"/>
      <c r="Q18" s="57" t="str">
        <f>IFERROR(ROUND(SCIENCE!H20,0), "")</f>
        <v/>
      </c>
      <c r="R18" s="57" t="str">
        <f>IFERROR(ROUND(SCIENCE!J20,0), "")</f>
        <v/>
      </c>
      <c r="S18" s="56" t="str">
        <f t="shared" si="9"/>
        <v/>
      </c>
      <c r="T18" s="57" t="str" cm="1">
        <f t="array" ref="T18">IF(S18&lt;&gt;"", ToGrade(S18), "")</f>
        <v/>
      </c>
      <c r="U18" s="58" t="str">
        <f>SCIENCE!L20</f>
        <v/>
      </c>
      <c r="V18" s="59" t="str" cm="1">
        <f t="array" ref="V18">IF(S18&lt;&gt;"", ToRemark(S18), "")</f>
        <v/>
      </c>
      <c r="W18" s="60"/>
      <c r="X18" s="57" t="str">
        <f>IFERROR(ROUND(OWOP!H20,0), "")</f>
        <v/>
      </c>
      <c r="Y18" s="57" t="str">
        <f>IFERROR(ROUND(OWOP!J20,0), "")</f>
        <v/>
      </c>
      <c r="Z18" s="56" t="str">
        <f t="shared" si="10"/>
        <v/>
      </c>
      <c r="AA18" s="57" t="str" cm="1">
        <f t="array" ref="AA18">IF(Z18&lt;&gt;"", ToGrade(Z18), "")</f>
        <v/>
      </c>
      <c r="AB18" s="58" t="str">
        <f>OWOP!L20</f>
        <v/>
      </c>
      <c r="AC18" s="59" t="str" cm="1">
        <f t="array" ref="AC18">IF(Z18&lt;&gt;"", ToRemark(Z18), "")</f>
        <v/>
      </c>
      <c r="AD18" s="60"/>
      <c r="AE18" s="57" t="str">
        <f>IFERROR(ROUND('C ARTS'!H20,0), "")</f>
        <v/>
      </c>
      <c r="AF18" s="57" t="str">
        <f>IFERROR(ROUND('C ARTS'!J20,0), "")</f>
        <v/>
      </c>
      <c r="AG18" s="56" t="str">
        <f t="shared" si="11"/>
        <v/>
      </c>
      <c r="AH18" s="57" t="str" cm="1">
        <f t="array" ref="AH18">IF(AG18&lt;&gt;"", ToGrade(AG18), "")</f>
        <v/>
      </c>
      <c r="AI18" s="58" t="str">
        <f>'C ARTS'!L20</f>
        <v/>
      </c>
      <c r="AJ18" s="59" t="str" cm="1">
        <f t="array" ref="AJ18">IF(AG18&lt;&gt;"", ToRemark(AG18), "")</f>
        <v/>
      </c>
      <c r="AK18" s="60"/>
      <c r="AL18" s="57" t="str">
        <f>IFERROR(ROUND('GH LANG'!H20,0), "")</f>
        <v/>
      </c>
      <c r="AM18" s="57" t="str">
        <f>IFERROR(ROUND('GH LANG'!J20,0), "")</f>
        <v/>
      </c>
      <c r="AN18" s="61" t="str">
        <f t="shared" si="12"/>
        <v/>
      </c>
      <c r="AO18" s="57" t="str" cm="1">
        <f t="array" ref="AO18">IF(AN18&lt;&gt;"", ToGrade(AN18), "")</f>
        <v/>
      </c>
      <c r="AP18" s="58" t="str">
        <f>'GH LANG'!L20</f>
        <v/>
      </c>
      <c r="AQ18" s="59" t="str" cm="1">
        <f t="array" ref="AQ18">IF(AN18&lt;&gt;"", ToRemark(AN18), "")</f>
        <v/>
      </c>
      <c r="AR18" s="60"/>
      <c r="AS18" s="57" t="str">
        <f>IFERROR(ROUND(COMPUTING!H20,0), "")</f>
        <v/>
      </c>
      <c r="AT18" s="57" t="str">
        <f>IFERROR(ROUND(COMPUTING!J20,0), "")</f>
        <v/>
      </c>
      <c r="AU18" s="56" t="str">
        <f t="shared" si="13"/>
        <v/>
      </c>
      <c r="AV18" s="57" t="str" cm="1">
        <f t="array" ref="AV18">IF(AU18&lt;&gt;"", ToGrade(AU18), "")</f>
        <v/>
      </c>
      <c r="AW18" s="58" t="str">
        <f>COMPUTING!L20</f>
        <v/>
      </c>
      <c r="AX18" s="59" t="str" cm="1">
        <f t="array" ref="AX18">IF(AU18&lt;&gt;"", ToRemark(AU18), "")</f>
        <v/>
      </c>
      <c r="AY18" s="62"/>
      <c r="AZ18" s="57" t="str">
        <f>IFERROR(ROUND(HISTERY!H20,0), "")</f>
        <v/>
      </c>
      <c r="BA18" s="57" t="str">
        <f>IFERROR(ROUND(HISTERY!J20,0), "")</f>
        <v/>
      </c>
      <c r="BB18" s="56" t="str">
        <f t="shared" si="14"/>
        <v/>
      </c>
      <c r="BC18" s="57" t="str" cm="1">
        <f t="array" ref="BC18">IF(BB18&lt;&gt;"", ToGrade(BB18), "")</f>
        <v/>
      </c>
      <c r="BD18" s="58" t="str">
        <f>HISTERY!L20</f>
        <v/>
      </c>
      <c r="BE18" s="59" t="str" cm="1">
        <f t="array" ref="BE18">IF(BB18&lt;&gt;"", ToRemark(BB18), "")</f>
        <v/>
      </c>
      <c r="BF18" s="60"/>
      <c r="BG18" s="57" t="str">
        <f>IFERROR(ROUND(RME!H20,0), "")</f>
        <v/>
      </c>
      <c r="BH18" s="57" t="str">
        <f>IFERROR(ROUND(RME!J20,0), "")</f>
        <v/>
      </c>
      <c r="BI18" s="56" t="str">
        <f t="shared" si="15"/>
        <v/>
      </c>
      <c r="BJ18" s="57" t="str" cm="1">
        <f t="array" ref="BJ18">IF(BI18&lt;&gt;"", ToGrade(BI18), "")</f>
        <v/>
      </c>
      <c r="BK18" s="58" t="str">
        <f>RME!L20</f>
        <v/>
      </c>
      <c r="BL18" s="59" t="str" cm="1">
        <f t="array" ref="BL18">IF(BI18&lt;&gt;"", ToRemark(BI18), "")</f>
        <v/>
      </c>
      <c r="BM18" s="74"/>
      <c r="BN18" s="97" t="str">
        <f t="shared" si="16"/>
        <v/>
      </c>
      <c r="BO18" s="106" t="str">
        <f t="shared" si="17"/>
        <v/>
      </c>
      <c r="BP18" s="98" t="str" cm="1">
        <f t="array" ref="BP18">IFERROR(OrdinalNumber(_xlfn.RANK.EQ(BN18,$BN$3:$BN$101)), "")</f>
        <v/>
      </c>
      <c r="BQ18" s="104"/>
      <c r="BR18" s="99"/>
      <c r="BS18" s="111"/>
      <c r="BT18" s="83" t="str" cm="1">
        <f t="array" ref="BT18">IF(LEN(B18)&lt;&gt;0, GetTeacherRemark(BO18), "")</f>
        <v/>
      </c>
      <c r="BU18" s="86" t="str">
        <f t="shared" si="0"/>
        <v/>
      </c>
      <c r="BV18" s="86" t="str">
        <f t="shared" si="1"/>
        <v/>
      </c>
      <c r="BW18" s="86" t="str">
        <f t="shared" si="2"/>
        <v/>
      </c>
      <c r="BX18" s="86" t="str">
        <f t="shared" si="3"/>
        <v/>
      </c>
      <c r="BY18" s="115" t="str">
        <f t="shared" si="4"/>
        <v/>
      </c>
      <c r="BZ18" s="87" t="str">
        <f t="shared" si="5"/>
        <v/>
      </c>
      <c r="CA18" s="86" t="str">
        <f t="shared" si="6"/>
        <v/>
      </c>
      <c r="CB18" s="85"/>
    </row>
    <row r="19" spans="1:80" x14ac:dyDescent="0.25">
      <c r="A19" s="53" t="str">
        <v>17</v>
      </c>
      <c r="B19" s="54" t="str">
        <v/>
      </c>
      <c r="C19" s="55" t="str">
        <f>IFERROR(ROUND(ENGLISH!H21,0), "")</f>
        <v/>
      </c>
      <c r="D19" s="55" t="str">
        <f>IFERROR(ROUND(ENGLISH!J21,0), "")</f>
        <v/>
      </c>
      <c r="E19" s="56" t="str">
        <f t="shared" si="7"/>
        <v/>
      </c>
      <c r="F19" s="57" t="str" cm="1">
        <f t="array" ref="F19">IF(E19&lt;&gt;"", ToGrade(E19), "")</f>
        <v/>
      </c>
      <c r="G19" s="58" t="str">
        <f>ENGLISH!L21</f>
        <v/>
      </c>
      <c r="H19" s="59" t="str" cm="1">
        <f t="array" ref="H19">IF(E19&lt;&gt;"", ToRemark(E19), "")</f>
        <v/>
      </c>
      <c r="I19" s="60"/>
      <c r="J19" s="55" t="str">
        <f>IFERROR(ROUND(MATHS!H21,0), "")</f>
        <v/>
      </c>
      <c r="K19" s="55" t="str">
        <f>IFERROR(ROUND(MATHS!J21,0), "")</f>
        <v/>
      </c>
      <c r="L19" s="56" t="str">
        <f t="shared" si="8"/>
        <v/>
      </c>
      <c r="M19" s="57" t="str" cm="1">
        <f t="array" ref="M19">IF(L19&lt;&gt;"", ToGrade(L19), "")</f>
        <v/>
      </c>
      <c r="N19" s="58" t="str">
        <f>MATHS!L21</f>
        <v/>
      </c>
      <c r="O19" s="59" t="str" cm="1">
        <f t="array" ref="O19">IF(L19&lt;&gt;"", ToRemark(L19), "")</f>
        <v/>
      </c>
      <c r="P19" s="60"/>
      <c r="Q19" s="57" t="str">
        <f>IFERROR(ROUND(SCIENCE!H21,0), "")</f>
        <v/>
      </c>
      <c r="R19" s="57" t="str">
        <f>IFERROR(ROUND(SCIENCE!J21,0), "")</f>
        <v/>
      </c>
      <c r="S19" s="56" t="str">
        <f t="shared" si="9"/>
        <v/>
      </c>
      <c r="T19" s="57" t="str" cm="1">
        <f t="array" ref="T19">IF(S19&lt;&gt;"", ToGrade(S19), "")</f>
        <v/>
      </c>
      <c r="U19" s="58" t="str">
        <f>SCIENCE!L21</f>
        <v/>
      </c>
      <c r="V19" s="59" t="str" cm="1">
        <f t="array" ref="V19">IF(S19&lt;&gt;"", ToRemark(S19), "")</f>
        <v/>
      </c>
      <c r="W19" s="60"/>
      <c r="X19" s="57" t="str">
        <f>IFERROR(ROUND(OWOP!H21,0), "")</f>
        <v/>
      </c>
      <c r="Y19" s="57" t="str">
        <f>IFERROR(ROUND(OWOP!J21,0), "")</f>
        <v/>
      </c>
      <c r="Z19" s="56" t="str">
        <f t="shared" si="10"/>
        <v/>
      </c>
      <c r="AA19" s="57" t="str" cm="1">
        <f t="array" ref="AA19">IF(Z19&lt;&gt;"", ToGrade(Z19), "")</f>
        <v/>
      </c>
      <c r="AB19" s="58" t="str">
        <f>OWOP!L21</f>
        <v/>
      </c>
      <c r="AC19" s="59" t="str" cm="1">
        <f t="array" ref="AC19">IF(Z19&lt;&gt;"", ToRemark(Z19), "")</f>
        <v/>
      </c>
      <c r="AD19" s="60"/>
      <c r="AE19" s="57" t="str">
        <f>IFERROR(ROUND('C ARTS'!H21,0), "")</f>
        <v/>
      </c>
      <c r="AF19" s="57" t="str">
        <f>IFERROR(ROUND('C ARTS'!J21,0), "")</f>
        <v/>
      </c>
      <c r="AG19" s="56" t="str">
        <f t="shared" si="11"/>
        <v/>
      </c>
      <c r="AH19" s="57" t="str" cm="1">
        <f t="array" ref="AH19">IF(AG19&lt;&gt;"", ToGrade(AG19), "")</f>
        <v/>
      </c>
      <c r="AI19" s="58" t="str">
        <f>'C ARTS'!L21</f>
        <v/>
      </c>
      <c r="AJ19" s="59" t="str" cm="1">
        <f t="array" ref="AJ19">IF(AG19&lt;&gt;"", ToRemark(AG19), "")</f>
        <v/>
      </c>
      <c r="AK19" s="60"/>
      <c r="AL19" s="57" t="str">
        <f>IFERROR(ROUND('GH LANG'!H21,0), "")</f>
        <v/>
      </c>
      <c r="AM19" s="57" t="str">
        <f>IFERROR(ROUND('GH LANG'!J21,0), "")</f>
        <v/>
      </c>
      <c r="AN19" s="61" t="str">
        <f t="shared" si="12"/>
        <v/>
      </c>
      <c r="AO19" s="57" t="str" cm="1">
        <f t="array" ref="AO19">IF(AN19&lt;&gt;"", ToGrade(AN19), "")</f>
        <v/>
      </c>
      <c r="AP19" s="58" t="str">
        <f>'GH LANG'!L21</f>
        <v/>
      </c>
      <c r="AQ19" s="59" t="str" cm="1">
        <f t="array" ref="AQ19">IF(AN19&lt;&gt;"", ToRemark(AN19), "")</f>
        <v/>
      </c>
      <c r="AR19" s="60"/>
      <c r="AS19" s="57" t="str">
        <f>IFERROR(ROUND(COMPUTING!H21,0), "")</f>
        <v/>
      </c>
      <c r="AT19" s="57" t="str">
        <f>IFERROR(ROUND(COMPUTING!J21,0), "")</f>
        <v/>
      </c>
      <c r="AU19" s="56" t="str">
        <f t="shared" si="13"/>
        <v/>
      </c>
      <c r="AV19" s="57" t="str" cm="1">
        <f t="array" ref="AV19">IF(AU19&lt;&gt;"", ToGrade(AU19), "")</f>
        <v/>
      </c>
      <c r="AW19" s="58" t="str">
        <f>COMPUTING!L21</f>
        <v/>
      </c>
      <c r="AX19" s="59" t="str" cm="1">
        <f t="array" ref="AX19">IF(AU19&lt;&gt;"", ToRemark(AU19), "")</f>
        <v/>
      </c>
      <c r="AY19" s="62"/>
      <c r="AZ19" s="57" t="str">
        <f>IFERROR(ROUND(HISTERY!H21,0), "")</f>
        <v/>
      </c>
      <c r="BA19" s="57" t="str">
        <f>IFERROR(ROUND(HISTERY!J21,0), "")</f>
        <v/>
      </c>
      <c r="BB19" s="56" t="str">
        <f t="shared" si="14"/>
        <v/>
      </c>
      <c r="BC19" s="57" t="str" cm="1">
        <f t="array" ref="BC19">IF(BB19&lt;&gt;"", ToGrade(BB19), "")</f>
        <v/>
      </c>
      <c r="BD19" s="58" t="str">
        <f>HISTERY!L21</f>
        <v/>
      </c>
      <c r="BE19" s="59" t="str" cm="1">
        <f t="array" ref="BE19">IF(BB19&lt;&gt;"", ToRemark(BB19), "")</f>
        <v/>
      </c>
      <c r="BF19" s="60"/>
      <c r="BG19" s="57" t="str">
        <f>IFERROR(ROUND(RME!H21,0), "")</f>
        <v/>
      </c>
      <c r="BH19" s="57" t="str">
        <f>IFERROR(ROUND(RME!J21,0), "")</f>
        <v/>
      </c>
      <c r="BI19" s="56" t="str">
        <f t="shared" si="15"/>
        <v/>
      </c>
      <c r="BJ19" s="57" t="str" cm="1">
        <f t="array" ref="BJ19">IF(BI19&lt;&gt;"", ToGrade(BI19), "")</f>
        <v/>
      </c>
      <c r="BK19" s="58" t="str">
        <f>RME!L21</f>
        <v/>
      </c>
      <c r="BL19" s="59" t="str" cm="1">
        <f t="array" ref="BL19">IF(BI19&lt;&gt;"", ToRemark(BI19), "")</f>
        <v/>
      </c>
      <c r="BM19" s="74"/>
      <c r="BN19" s="97" t="str">
        <f t="shared" si="16"/>
        <v/>
      </c>
      <c r="BO19" s="106" t="str">
        <f t="shared" si="17"/>
        <v/>
      </c>
      <c r="BP19" s="98" t="str" cm="1">
        <f t="array" ref="BP19">IFERROR(OrdinalNumber(_xlfn.RANK.EQ(BN19,$BN$3:$BN$101)), "")</f>
        <v/>
      </c>
      <c r="BQ19" s="104"/>
      <c r="BR19" s="99"/>
      <c r="BS19" s="111"/>
      <c r="BT19" s="83" t="str" cm="1">
        <f t="array" ref="BT19">IF(LEN(B19)&lt;&gt;0, GetTeacherRemark(BO19), "")</f>
        <v/>
      </c>
      <c r="BU19" s="86" t="str">
        <f t="shared" si="0"/>
        <v/>
      </c>
      <c r="BV19" s="86" t="str">
        <f t="shared" si="1"/>
        <v/>
      </c>
      <c r="BW19" s="86" t="str">
        <f t="shared" si="2"/>
        <v/>
      </c>
      <c r="BX19" s="86" t="str">
        <f t="shared" si="3"/>
        <v/>
      </c>
      <c r="BY19" s="115" t="str">
        <f t="shared" si="4"/>
        <v/>
      </c>
      <c r="BZ19" s="87" t="str">
        <f t="shared" si="5"/>
        <v/>
      </c>
      <c r="CA19" s="86" t="str">
        <f t="shared" si="6"/>
        <v/>
      </c>
      <c r="CB19" s="85"/>
    </row>
    <row r="20" spans="1:80" x14ac:dyDescent="0.25">
      <c r="A20" s="53" t="str">
        <v>18</v>
      </c>
      <c r="B20" s="54" t="str">
        <v/>
      </c>
      <c r="C20" s="55" t="str">
        <f>IFERROR(ROUND(ENGLISH!H22,0), "")</f>
        <v/>
      </c>
      <c r="D20" s="55" t="str">
        <f>IFERROR(ROUND(ENGLISH!J22,0), "")</f>
        <v/>
      </c>
      <c r="E20" s="56" t="str">
        <f t="shared" si="7"/>
        <v/>
      </c>
      <c r="F20" s="57" t="str" cm="1">
        <f t="array" ref="F20">IF(E20&lt;&gt;"", ToGrade(E20), "")</f>
        <v/>
      </c>
      <c r="G20" s="58" t="str">
        <f>ENGLISH!L22</f>
        <v/>
      </c>
      <c r="H20" s="59" t="str" cm="1">
        <f t="array" ref="H20">IF(E20&lt;&gt;"", ToRemark(E20), "")</f>
        <v/>
      </c>
      <c r="I20" s="60"/>
      <c r="J20" s="55" t="str">
        <f>IFERROR(ROUND(MATHS!H22,0), "")</f>
        <v/>
      </c>
      <c r="K20" s="55" t="str">
        <f>IFERROR(ROUND(MATHS!J22,0), "")</f>
        <v/>
      </c>
      <c r="L20" s="56" t="str">
        <f t="shared" si="8"/>
        <v/>
      </c>
      <c r="M20" s="57" t="str" cm="1">
        <f t="array" ref="M20">IF(L20&lt;&gt;"", ToGrade(L20), "")</f>
        <v/>
      </c>
      <c r="N20" s="58" t="str">
        <f>MATHS!L22</f>
        <v/>
      </c>
      <c r="O20" s="59" t="str" cm="1">
        <f t="array" ref="O20">IF(L20&lt;&gt;"", ToRemark(L20), "")</f>
        <v/>
      </c>
      <c r="P20" s="60"/>
      <c r="Q20" s="57" t="str">
        <f>IFERROR(ROUND(SCIENCE!H22,0), "")</f>
        <v/>
      </c>
      <c r="R20" s="57" t="str">
        <f>IFERROR(ROUND(SCIENCE!J22,0), "")</f>
        <v/>
      </c>
      <c r="S20" s="56" t="str">
        <f t="shared" si="9"/>
        <v/>
      </c>
      <c r="T20" s="57" t="str" cm="1">
        <f t="array" ref="T20">IF(S20&lt;&gt;"", ToGrade(S20), "")</f>
        <v/>
      </c>
      <c r="U20" s="58" t="str">
        <f>SCIENCE!L22</f>
        <v/>
      </c>
      <c r="V20" s="59" t="str" cm="1">
        <f t="array" ref="V20">IF(S20&lt;&gt;"", ToRemark(S20), "")</f>
        <v/>
      </c>
      <c r="W20" s="60"/>
      <c r="X20" s="57" t="str">
        <f>IFERROR(ROUND(OWOP!H22,0), "")</f>
        <v/>
      </c>
      <c r="Y20" s="57" t="str">
        <f>IFERROR(ROUND(OWOP!J22,0), "")</f>
        <v/>
      </c>
      <c r="Z20" s="56" t="str">
        <f t="shared" si="10"/>
        <v/>
      </c>
      <c r="AA20" s="57" t="str" cm="1">
        <f t="array" ref="AA20">IF(Z20&lt;&gt;"", ToGrade(Z20), "")</f>
        <v/>
      </c>
      <c r="AB20" s="58" t="str">
        <f>OWOP!L22</f>
        <v/>
      </c>
      <c r="AC20" s="59" t="str" cm="1">
        <f t="array" ref="AC20">IF(Z20&lt;&gt;"", ToRemark(Z20), "")</f>
        <v/>
      </c>
      <c r="AD20" s="60"/>
      <c r="AE20" s="57" t="str">
        <f>IFERROR(ROUND('C ARTS'!H22,0), "")</f>
        <v/>
      </c>
      <c r="AF20" s="57" t="str">
        <f>IFERROR(ROUND('C ARTS'!J22,0), "")</f>
        <v/>
      </c>
      <c r="AG20" s="56" t="str">
        <f t="shared" si="11"/>
        <v/>
      </c>
      <c r="AH20" s="57" t="str" cm="1">
        <f t="array" ref="AH20">IF(AG20&lt;&gt;"", ToGrade(AG20), "")</f>
        <v/>
      </c>
      <c r="AI20" s="58" t="str">
        <f>'C ARTS'!L22</f>
        <v/>
      </c>
      <c r="AJ20" s="59" t="str" cm="1">
        <f t="array" ref="AJ20">IF(AG20&lt;&gt;"", ToRemark(AG20), "")</f>
        <v/>
      </c>
      <c r="AK20" s="60"/>
      <c r="AL20" s="57" t="str">
        <f>IFERROR(ROUND('GH LANG'!H22,0), "")</f>
        <v/>
      </c>
      <c r="AM20" s="57" t="str">
        <f>IFERROR(ROUND('GH LANG'!J22,0), "")</f>
        <v/>
      </c>
      <c r="AN20" s="61" t="str">
        <f t="shared" si="12"/>
        <v/>
      </c>
      <c r="AO20" s="57" t="str" cm="1">
        <f t="array" ref="AO20">IF(AN20&lt;&gt;"", ToGrade(AN20), "")</f>
        <v/>
      </c>
      <c r="AP20" s="58" t="str">
        <f>'GH LANG'!L22</f>
        <v/>
      </c>
      <c r="AQ20" s="59" t="str" cm="1">
        <f t="array" ref="AQ20">IF(AN20&lt;&gt;"", ToRemark(AN20), "")</f>
        <v/>
      </c>
      <c r="AR20" s="60"/>
      <c r="AS20" s="57" t="str">
        <f>IFERROR(ROUND(COMPUTING!H22,0), "")</f>
        <v/>
      </c>
      <c r="AT20" s="57" t="str">
        <f>IFERROR(ROUND(COMPUTING!J22,0), "")</f>
        <v/>
      </c>
      <c r="AU20" s="56" t="str">
        <f t="shared" si="13"/>
        <v/>
      </c>
      <c r="AV20" s="57" t="str" cm="1">
        <f t="array" ref="AV20">IF(AU20&lt;&gt;"", ToGrade(AU20), "")</f>
        <v/>
      </c>
      <c r="AW20" s="58" t="str">
        <f>COMPUTING!L22</f>
        <v/>
      </c>
      <c r="AX20" s="59" t="str" cm="1">
        <f t="array" ref="AX20">IF(AU20&lt;&gt;"", ToRemark(AU20), "")</f>
        <v/>
      </c>
      <c r="AY20" s="62"/>
      <c r="AZ20" s="57" t="str">
        <f>IFERROR(ROUND(HISTERY!H22,0), "")</f>
        <v/>
      </c>
      <c r="BA20" s="57" t="str">
        <f>IFERROR(ROUND(HISTERY!J22,0), "")</f>
        <v/>
      </c>
      <c r="BB20" s="56" t="str">
        <f t="shared" si="14"/>
        <v/>
      </c>
      <c r="BC20" s="57" t="str" cm="1">
        <f t="array" ref="BC20">IF(BB20&lt;&gt;"", ToGrade(BB20), "")</f>
        <v/>
      </c>
      <c r="BD20" s="58" t="str">
        <f>HISTERY!L22</f>
        <v/>
      </c>
      <c r="BE20" s="59" t="str" cm="1">
        <f t="array" ref="BE20">IF(BB20&lt;&gt;"", ToRemark(BB20), "")</f>
        <v/>
      </c>
      <c r="BF20" s="60"/>
      <c r="BG20" s="57" t="str">
        <f>IFERROR(ROUND(RME!H22,0), "")</f>
        <v/>
      </c>
      <c r="BH20" s="57" t="str">
        <f>IFERROR(ROUND(RME!J22,0), "")</f>
        <v/>
      </c>
      <c r="BI20" s="56" t="str">
        <f t="shared" si="15"/>
        <v/>
      </c>
      <c r="BJ20" s="57" t="str" cm="1">
        <f t="array" ref="BJ20">IF(BI20&lt;&gt;"", ToGrade(BI20), "")</f>
        <v/>
      </c>
      <c r="BK20" s="58" t="str">
        <f>RME!L22</f>
        <v/>
      </c>
      <c r="BL20" s="59" t="str" cm="1">
        <f t="array" ref="BL20">IF(BI20&lt;&gt;"", ToRemark(BI20), "")</f>
        <v/>
      </c>
      <c r="BM20" s="74"/>
      <c r="BN20" s="97" t="str">
        <f t="shared" si="16"/>
        <v/>
      </c>
      <c r="BO20" s="106" t="str">
        <f t="shared" si="17"/>
        <v/>
      </c>
      <c r="BP20" s="98" t="str" cm="1">
        <f t="array" ref="BP20">IFERROR(OrdinalNumber(_xlfn.RANK.EQ(BN20,$BN$3:$BN$101)), "")</f>
        <v/>
      </c>
      <c r="BQ20" s="104"/>
      <c r="BR20" s="99"/>
      <c r="BS20" s="111"/>
      <c r="BT20" s="83" t="str" cm="1">
        <f t="array" ref="BT20">IF(LEN(B20)&lt;&gt;0, GetTeacherRemark(BO20), "")</f>
        <v/>
      </c>
      <c r="BU20" s="86" t="str">
        <f t="shared" si="0"/>
        <v/>
      </c>
      <c r="BV20" s="86" t="str">
        <f t="shared" si="1"/>
        <v/>
      </c>
      <c r="BW20" s="86" t="str">
        <f t="shared" si="2"/>
        <v/>
      </c>
      <c r="BX20" s="86" t="str">
        <f t="shared" si="3"/>
        <v/>
      </c>
      <c r="BY20" s="115" t="str">
        <f t="shared" si="4"/>
        <v/>
      </c>
      <c r="BZ20" s="87" t="str">
        <f t="shared" si="5"/>
        <v/>
      </c>
      <c r="CA20" s="86" t="str">
        <f t="shared" si="6"/>
        <v/>
      </c>
      <c r="CB20" s="85"/>
    </row>
    <row r="21" spans="1:80" x14ac:dyDescent="0.25">
      <c r="A21" s="53" t="str">
        <v>19</v>
      </c>
      <c r="B21" s="54" t="str">
        <v/>
      </c>
      <c r="C21" s="55" t="str">
        <f>IFERROR(ROUND(ENGLISH!H23,0), "")</f>
        <v/>
      </c>
      <c r="D21" s="55" t="str">
        <f>IFERROR(ROUND(ENGLISH!J23,0), "")</f>
        <v/>
      </c>
      <c r="E21" s="56" t="str">
        <f t="shared" si="7"/>
        <v/>
      </c>
      <c r="F21" s="57" t="str" cm="1">
        <f t="array" ref="F21">IF(E21&lt;&gt;"", ToGrade(E21), "")</f>
        <v/>
      </c>
      <c r="G21" s="58" t="str">
        <f>ENGLISH!L23</f>
        <v/>
      </c>
      <c r="H21" s="59" t="str" cm="1">
        <f t="array" ref="H21">IF(E21&lt;&gt;"", ToRemark(E21), "")</f>
        <v/>
      </c>
      <c r="I21" s="60"/>
      <c r="J21" s="55" t="str">
        <f>IFERROR(ROUND(MATHS!H23,0), "")</f>
        <v/>
      </c>
      <c r="K21" s="55" t="str">
        <f>IFERROR(ROUND(MATHS!J23,0), "")</f>
        <v/>
      </c>
      <c r="L21" s="56" t="str">
        <f t="shared" si="8"/>
        <v/>
      </c>
      <c r="M21" s="57" t="str" cm="1">
        <f t="array" ref="M21">IF(L21&lt;&gt;"", ToGrade(L21), "")</f>
        <v/>
      </c>
      <c r="N21" s="58" t="str">
        <f>MATHS!L23</f>
        <v/>
      </c>
      <c r="O21" s="59" t="str" cm="1">
        <f t="array" ref="O21">IF(L21&lt;&gt;"", ToRemark(L21), "")</f>
        <v/>
      </c>
      <c r="P21" s="60"/>
      <c r="Q21" s="57" t="str">
        <f>IFERROR(ROUND(SCIENCE!H23,0), "")</f>
        <v/>
      </c>
      <c r="R21" s="57" t="str">
        <f>IFERROR(ROUND(SCIENCE!J23,0), "")</f>
        <v/>
      </c>
      <c r="S21" s="56" t="str">
        <f t="shared" si="9"/>
        <v/>
      </c>
      <c r="T21" s="57" t="str" cm="1">
        <f t="array" ref="T21">IF(S21&lt;&gt;"", ToGrade(S21), "")</f>
        <v/>
      </c>
      <c r="U21" s="58" t="str">
        <f>SCIENCE!L23</f>
        <v/>
      </c>
      <c r="V21" s="59" t="str" cm="1">
        <f t="array" ref="V21">IF(S21&lt;&gt;"", ToRemark(S21), "")</f>
        <v/>
      </c>
      <c r="W21" s="60"/>
      <c r="X21" s="57" t="str">
        <f>IFERROR(ROUND(OWOP!H23,0), "")</f>
        <v/>
      </c>
      <c r="Y21" s="57" t="str">
        <f>IFERROR(ROUND(OWOP!J23,0), "")</f>
        <v/>
      </c>
      <c r="Z21" s="56" t="str">
        <f t="shared" si="10"/>
        <v/>
      </c>
      <c r="AA21" s="57" t="str" cm="1">
        <f t="array" ref="AA21">IF(Z21&lt;&gt;"", ToGrade(Z21), "")</f>
        <v/>
      </c>
      <c r="AB21" s="58" t="str">
        <f>OWOP!L23</f>
        <v/>
      </c>
      <c r="AC21" s="59" t="str" cm="1">
        <f t="array" ref="AC21">IF(Z21&lt;&gt;"", ToRemark(Z21), "")</f>
        <v/>
      </c>
      <c r="AD21" s="60"/>
      <c r="AE21" s="57" t="str">
        <f>IFERROR(ROUND('C ARTS'!H23,0), "")</f>
        <v/>
      </c>
      <c r="AF21" s="57" t="str">
        <f>IFERROR(ROUND('C ARTS'!J23,0), "")</f>
        <v/>
      </c>
      <c r="AG21" s="56" t="str">
        <f t="shared" si="11"/>
        <v/>
      </c>
      <c r="AH21" s="57" t="str" cm="1">
        <f t="array" ref="AH21">IF(AG21&lt;&gt;"", ToGrade(AG21), "")</f>
        <v/>
      </c>
      <c r="AI21" s="58" t="str">
        <f>'C ARTS'!L23</f>
        <v/>
      </c>
      <c r="AJ21" s="59" t="str" cm="1">
        <f t="array" ref="AJ21">IF(AG21&lt;&gt;"", ToRemark(AG21), "")</f>
        <v/>
      </c>
      <c r="AK21" s="60"/>
      <c r="AL21" s="57" t="str">
        <f>IFERROR(ROUND('GH LANG'!H23,0), "")</f>
        <v/>
      </c>
      <c r="AM21" s="57" t="str">
        <f>IFERROR(ROUND('GH LANG'!J23,0), "")</f>
        <v/>
      </c>
      <c r="AN21" s="61" t="str">
        <f t="shared" si="12"/>
        <v/>
      </c>
      <c r="AO21" s="57" t="str" cm="1">
        <f t="array" ref="AO21">IF(AN21&lt;&gt;"", ToGrade(AN21), "")</f>
        <v/>
      </c>
      <c r="AP21" s="58" t="str">
        <f>'GH LANG'!L23</f>
        <v/>
      </c>
      <c r="AQ21" s="59" t="str" cm="1">
        <f t="array" ref="AQ21">IF(AN21&lt;&gt;"", ToRemark(AN21), "")</f>
        <v/>
      </c>
      <c r="AR21" s="60"/>
      <c r="AS21" s="57" t="str">
        <f>IFERROR(ROUND(COMPUTING!H23,0), "")</f>
        <v/>
      </c>
      <c r="AT21" s="57" t="str">
        <f>IFERROR(ROUND(COMPUTING!J23,0), "")</f>
        <v/>
      </c>
      <c r="AU21" s="56" t="str">
        <f t="shared" si="13"/>
        <v/>
      </c>
      <c r="AV21" s="57" t="str" cm="1">
        <f t="array" ref="AV21">IF(AU21&lt;&gt;"", ToGrade(AU21), "")</f>
        <v/>
      </c>
      <c r="AW21" s="58" t="str">
        <f>COMPUTING!L23</f>
        <v/>
      </c>
      <c r="AX21" s="59" t="str" cm="1">
        <f t="array" ref="AX21">IF(AU21&lt;&gt;"", ToRemark(AU21), "")</f>
        <v/>
      </c>
      <c r="AY21" s="62"/>
      <c r="AZ21" s="57" t="str">
        <f>IFERROR(ROUND(HISTERY!H23,0), "")</f>
        <v/>
      </c>
      <c r="BA21" s="57" t="str">
        <f>IFERROR(ROUND(HISTERY!J23,0), "")</f>
        <v/>
      </c>
      <c r="BB21" s="56" t="str">
        <f t="shared" si="14"/>
        <v/>
      </c>
      <c r="BC21" s="57" t="str" cm="1">
        <f t="array" ref="BC21">IF(BB21&lt;&gt;"", ToGrade(BB21), "")</f>
        <v/>
      </c>
      <c r="BD21" s="58" t="str">
        <f>HISTERY!L23</f>
        <v/>
      </c>
      <c r="BE21" s="59" t="str" cm="1">
        <f t="array" ref="BE21">IF(BB21&lt;&gt;"", ToRemark(BB21), "")</f>
        <v/>
      </c>
      <c r="BF21" s="60"/>
      <c r="BG21" s="57" t="str">
        <f>IFERROR(ROUND(RME!H23,0), "")</f>
        <v/>
      </c>
      <c r="BH21" s="57" t="str">
        <f>IFERROR(ROUND(RME!J23,0), "")</f>
        <v/>
      </c>
      <c r="BI21" s="56" t="str">
        <f t="shared" si="15"/>
        <v/>
      </c>
      <c r="BJ21" s="57" t="str" cm="1">
        <f t="array" ref="BJ21">IF(BI21&lt;&gt;"", ToGrade(BI21), "")</f>
        <v/>
      </c>
      <c r="BK21" s="58" t="str">
        <f>RME!L23</f>
        <v/>
      </c>
      <c r="BL21" s="59" t="str" cm="1">
        <f t="array" ref="BL21">IF(BI21&lt;&gt;"", ToRemark(BI21), "")</f>
        <v/>
      </c>
      <c r="BM21" s="74"/>
      <c r="BN21" s="97" t="str">
        <f t="shared" si="16"/>
        <v/>
      </c>
      <c r="BO21" s="106" t="str">
        <f t="shared" si="17"/>
        <v/>
      </c>
      <c r="BP21" s="98" t="str" cm="1">
        <f t="array" ref="BP21">IFERROR(OrdinalNumber(_xlfn.RANK.EQ(BN21,$BN$3:$BN$101)), "")</f>
        <v/>
      </c>
      <c r="BQ21" s="104"/>
      <c r="BR21" s="99"/>
      <c r="BS21" s="111"/>
      <c r="BT21" s="83" t="str" cm="1">
        <f t="array" ref="BT21">IF(LEN(B21)&lt;&gt;0, GetTeacherRemark(BO21), "")</f>
        <v/>
      </c>
      <c r="BU21" s="86" t="str">
        <f t="shared" si="0"/>
        <v/>
      </c>
      <c r="BV21" s="86" t="str">
        <f t="shared" si="1"/>
        <v/>
      </c>
      <c r="BW21" s="86" t="str">
        <f t="shared" si="2"/>
        <v/>
      </c>
      <c r="BX21" s="86" t="str">
        <f t="shared" si="3"/>
        <v/>
      </c>
      <c r="BY21" s="115" t="str">
        <f t="shared" si="4"/>
        <v/>
      </c>
      <c r="BZ21" s="87" t="str">
        <f t="shared" si="5"/>
        <v/>
      </c>
      <c r="CA21" s="86" t="str">
        <f t="shared" si="6"/>
        <v/>
      </c>
      <c r="CB21" s="85"/>
    </row>
    <row r="22" spans="1:80" x14ac:dyDescent="0.25">
      <c r="A22" s="53" t="str">
        <v>20</v>
      </c>
      <c r="B22" s="54" t="str">
        <v/>
      </c>
      <c r="C22" s="55" t="str">
        <f>IFERROR(ROUND(ENGLISH!H24,0), "")</f>
        <v/>
      </c>
      <c r="D22" s="55" t="str">
        <f>IFERROR(ROUND(ENGLISH!J24,0), "")</f>
        <v/>
      </c>
      <c r="E22" s="56" t="str">
        <f t="shared" si="7"/>
        <v/>
      </c>
      <c r="F22" s="57" t="str" cm="1">
        <f t="array" ref="F22">IF(E22&lt;&gt;"", ToGrade(E22), "")</f>
        <v/>
      </c>
      <c r="G22" s="58" t="str">
        <f>ENGLISH!L24</f>
        <v/>
      </c>
      <c r="H22" s="59" t="str" cm="1">
        <f t="array" ref="H22">IF(E22&lt;&gt;"", ToRemark(E22), "")</f>
        <v/>
      </c>
      <c r="I22" s="60"/>
      <c r="J22" s="55" t="str">
        <f>IFERROR(ROUND(MATHS!H24,0), "")</f>
        <v/>
      </c>
      <c r="K22" s="55" t="str">
        <f>IFERROR(ROUND(MATHS!J24,0), "")</f>
        <v/>
      </c>
      <c r="L22" s="56" t="str">
        <f t="shared" si="8"/>
        <v/>
      </c>
      <c r="M22" s="57" t="str" cm="1">
        <f t="array" ref="M22">IF(L22&lt;&gt;"", ToGrade(L22), "")</f>
        <v/>
      </c>
      <c r="N22" s="58" t="str">
        <f>MATHS!L24</f>
        <v/>
      </c>
      <c r="O22" s="59" t="str" cm="1">
        <f t="array" ref="O22">IF(L22&lt;&gt;"", ToRemark(L22), "")</f>
        <v/>
      </c>
      <c r="P22" s="60"/>
      <c r="Q22" s="57" t="str">
        <f>IFERROR(ROUND(SCIENCE!H24,0), "")</f>
        <v/>
      </c>
      <c r="R22" s="57" t="str">
        <f>IFERROR(ROUND(SCIENCE!J24,0), "")</f>
        <v/>
      </c>
      <c r="S22" s="56" t="str">
        <f t="shared" si="9"/>
        <v/>
      </c>
      <c r="T22" s="57" t="str" cm="1">
        <f t="array" ref="T22">IF(S22&lt;&gt;"", ToGrade(S22), "")</f>
        <v/>
      </c>
      <c r="U22" s="58" t="str">
        <f>SCIENCE!L24</f>
        <v/>
      </c>
      <c r="V22" s="59" t="str" cm="1">
        <f t="array" ref="V22">IF(S22&lt;&gt;"", ToRemark(S22), "")</f>
        <v/>
      </c>
      <c r="W22" s="60"/>
      <c r="X22" s="57" t="str">
        <f>IFERROR(ROUND(OWOP!H24,0), "")</f>
        <v/>
      </c>
      <c r="Y22" s="57" t="str">
        <f>IFERROR(ROUND(OWOP!J24,0), "")</f>
        <v/>
      </c>
      <c r="Z22" s="56" t="str">
        <f t="shared" si="10"/>
        <v/>
      </c>
      <c r="AA22" s="57" t="str" cm="1">
        <f t="array" ref="AA22">IF(Z22&lt;&gt;"", ToGrade(Z22), "")</f>
        <v/>
      </c>
      <c r="AB22" s="58" t="str">
        <f>OWOP!L24</f>
        <v/>
      </c>
      <c r="AC22" s="59" t="str" cm="1">
        <f t="array" ref="AC22">IF(Z22&lt;&gt;"", ToRemark(Z22), "")</f>
        <v/>
      </c>
      <c r="AD22" s="60"/>
      <c r="AE22" s="57" t="str">
        <f>IFERROR(ROUND('C ARTS'!H24,0), "")</f>
        <v/>
      </c>
      <c r="AF22" s="57" t="str">
        <f>IFERROR(ROUND('C ARTS'!J24,0), "")</f>
        <v/>
      </c>
      <c r="AG22" s="56" t="str">
        <f t="shared" si="11"/>
        <v/>
      </c>
      <c r="AH22" s="57" t="str" cm="1">
        <f t="array" ref="AH22">IF(AG22&lt;&gt;"", ToGrade(AG22), "")</f>
        <v/>
      </c>
      <c r="AI22" s="58" t="str">
        <f>'C ARTS'!L24</f>
        <v/>
      </c>
      <c r="AJ22" s="59" t="str" cm="1">
        <f t="array" ref="AJ22">IF(AG22&lt;&gt;"", ToRemark(AG22), "")</f>
        <v/>
      </c>
      <c r="AK22" s="60"/>
      <c r="AL22" s="57" t="str">
        <f>IFERROR(ROUND('GH LANG'!H24,0), "")</f>
        <v/>
      </c>
      <c r="AM22" s="57" t="str">
        <f>IFERROR(ROUND('GH LANG'!J24,0), "")</f>
        <v/>
      </c>
      <c r="AN22" s="61" t="str">
        <f t="shared" si="12"/>
        <v/>
      </c>
      <c r="AO22" s="57" t="str" cm="1">
        <f t="array" ref="AO22">IF(AN22&lt;&gt;"", ToGrade(AN22), "")</f>
        <v/>
      </c>
      <c r="AP22" s="58" t="str">
        <f>'GH LANG'!L24</f>
        <v/>
      </c>
      <c r="AQ22" s="59" t="str" cm="1">
        <f t="array" ref="AQ22">IF(AN22&lt;&gt;"", ToRemark(AN22), "")</f>
        <v/>
      </c>
      <c r="AR22" s="60"/>
      <c r="AS22" s="57" t="str">
        <f>IFERROR(ROUND(COMPUTING!H24,0), "")</f>
        <v/>
      </c>
      <c r="AT22" s="57" t="str">
        <f>IFERROR(ROUND(COMPUTING!J24,0), "")</f>
        <v/>
      </c>
      <c r="AU22" s="56" t="str">
        <f t="shared" si="13"/>
        <v/>
      </c>
      <c r="AV22" s="57" t="str" cm="1">
        <f t="array" ref="AV22">IF(AU22&lt;&gt;"", ToGrade(AU22), "")</f>
        <v/>
      </c>
      <c r="AW22" s="58" t="str">
        <f>COMPUTING!L24</f>
        <v/>
      </c>
      <c r="AX22" s="59" t="str" cm="1">
        <f t="array" ref="AX22">IF(AU22&lt;&gt;"", ToRemark(AU22), "")</f>
        <v/>
      </c>
      <c r="AY22" s="62"/>
      <c r="AZ22" s="57" t="str">
        <f>IFERROR(ROUND(HISTERY!H24,0), "")</f>
        <v/>
      </c>
      <c r="BA22" s="57" t="str">
        <f>IFERROR(ROUND(HISTERY!J24,0), "")</f>
        <v/>
      </c>
      <c r="BB22" s="56" t="str">
        <f t="shared" si="14"/>
        <v/>
      </c>
      <c r="BC22" s="57" t="str" cm="1">
        <f t="array" ref="BC22">IF(BB22&lt;&gt;"", ToGrade(BB22), "")</f>
        <v/>
      </c>
      <c r="BD22" s="58" t="str">
        <f>HISTERY!L24</f>
        <v/>
      </c>
      <c r="BE22" s="59" t="str" cm="1">
        <f t="array" ref="BE22">IF(BB22&lt;&gt;"", ToRemark(BB22), "")</f>
        <v/>
      </c>
      <c r="BF22" s="60"/>
      <c r="BG22" s="57" t="str">
        <f>IFERROR(ROUND(RME!H24,0), "")</f>
        <v/>
      </c>
      <c r="BH22" s="57" t="str">
        <f>IFERROR(ROUND(RME!J24,0), "")</f>
        <v/>
      </c>
      <c r="BI22" s="56" t="str">
        <f t="shared" si="15"/>
        <v/>
      </c>
      <c r="BJ22" s="57" t="str" cm="1">
        <f t="array" ref="BJ22">IF(BI22&lt;&gt;"", ToGrade(BI22), "")</f>
        <v/>
      </c>
      <c r="BK22" s="58" t="str">
        <f>RME!L24</f>
        <v/>
      </c>
      <c r="BL22" s="59" t="str" cm="1">
        <f t="array" ref="BL22">IF(BI22&lt;&gt;"", ToRemark(BI22), "")</f>
        <v/>
      </c>
      <c r="BM22" s="74"/>
      <c r="BN22" s="97" t="str">
        <f t="shared" si="16"/>
        <v/>
      </c>
      <c r="BO22" s="106" t="str">
        <f t="shared" si="17"/>
        <v/>
      </c>
      <c r="BP22" s="98" t="str" cm="1">
        <f t="array" ref="BP22">IFERROR(OrdinalNumber(_xlfn.RANK.EQ(BN22,$BN$3:$BN$101)), "")</f>
        <v/>
      </c>
      <c r="BQ22" s="104"/>
      <c r="BR22" s="99"/>
      <c r="BS22" s="111"/>
      <c r="BT22" s="83" t="str" cm="1">
        <f t="array" ref="BT22">IF(LEN(B22)&lt;&gt;0, GetTeacherRemark(BO22), "")</f>
        <v/>
      </c>
      <c r="BU22" s="86" t="str">
        <f t="shared" si="0"/>
        <v/>
      </c>
      <c r="BV22" s="86" t="str">
        <f t="shared" si="1"/>
        <v/>
      </c>
      <c r="BW22" s="86" t="str">
        <f t="shared" si="2"/>
        <v/>
      </c>
      <c r="BX22" s="86" t="str">
        <f t="shared" si="3"/>
        <v/>
      </c>
      <c r="BY22" s="115" t="str">
        <f t="shared" si="4"/>
        <v/>
      </c>
      <c r="BZ22" s="87" t="str">
        <f t="shared" si="5"/>
        <v/>
      </c>
      <c r="CA22" s="86" t="str">
        <f t="shared" si="6"/>
        <v/>
      </c>
      <c r="CB22" s="85"/>
    </row>
    <row r="23" spans="1:80" x14ac:dyDescent="0.25">
      <c r="A23" s="53" t="str">
        <v>21</v>
      </c>
      <c r="B23" s="54" t="str">
        <v/>
      </c>
      <c r="C23" s="55" t="str">
        <f>IFERROR(ROUND(ENGLISH!H25,0), "")</f>
        <v/>
      </c>
      <c r="D23" s="55" t="str">
        <f>IFERROR(ROUND(ENGLISH!J25,0), "")</f>
        <v/>
      </c>
      <c r="E23" s="56" t="str">
        <f t="shared" si="7"/>
        <v/>
      </c>
      <c r="F23" s="57" t="str" cm="1">
        <f t="array" ref="F23">IF(E23&lt;&gt;"", ToGrade(E23), "")</f>
        <v/>
      </c>
      <c r="G23" s="58" t="str">
        <f>ENGLISH!L25</f>
        <v/>
      </c>
      <c r="H23" s="59" t="str" cm="1">
        <f t="array" ref="H23">IF(E23&lt;&gt;"", ToRemark(E23), "")</f>
        <v/>
      </c>
      <c r="I23" s="60"/>
      <c r="J23" s="55" t="str">
        <f>IFERROR(ROUND(MATHS!H25,0), "")</f>
        <v/>
      </c>
      <c r="K23" s="55" t="str">
        <f>IFERROR(ROUND(MATHS!J25,0), "")</f>
        <v/>
      </c>
      <c r="L23" s="56" t="str">
        <f t="shared" si="8"/>
        <v/>
      </c>
      <c r="M23" s="57" t="str" cm="1">
        <f t="array" ref="M23">IF(L23&lt;&gt;"", ToGrade(L23), "")</f>
        <v/>
      </c>
      <c r="N23" s="58" t="str">
        <f>MATHS!L25</f>
        <v/>
      </c>
      <c r="O23" s="59" t="str" cm="1">
        <f t="array" ref="O23">IF(L23&lt;&gt;"", ToRemark(L23), "")</f>
        <v/>
      </c>
      <c r="P23" s="60"/>
      <c r="Q23" s="57" t="str">
        <f>IFERROR(ROUND(SCIENCE!H25,0), "")</f>
        <v/>
      </c>
      <c r="R23" s="57" t="str">
        <f>IFERROR(ROUND(SCIENCE!J25,0), "")</f>
        <v/>
      </c>
      <c r="S23" s="56" t="str">
        <f t="shared" si="9"/>
        <v/>
      </c>
      <c r="T23" s="57" t="str" cm="1">
        <f t="array" ref="T23">IF(S23&lt;&gt;"", ToGrade(S23), "")</f>
        <v/>
      </c>
      <c r="U23" s="58" t="str">
        <f>SCIENCE!L25</f>
        <v/>
      </c>
      <c r="V23" s="59" t="str" cm="1">
        <f t="array" ref="V23">IF(S23&lt;&gt;"", ToRemark(S23), "")</f>
        <v/>
      </c>
      <c r="W23" s="60"/>
      <c r="X23" s="57" t="str">
        <f>IFERROR(ROUND(OWOP!H25,0), "")</f>
        <v/>
      </c>
      <c r="Y23" s="57" t="str">
        <f>IFERROR(ROUND(OWOP!J25,0), "")</f>
        <v/>
      </c>
      <c r="Z23" s="56" t="str">
        <f t="shared" si="10"/>
        <v/>
      </c>
      <c r="AA23" s="57" t="str" cm="1">
        <f t="array" ref="AA23">IF(Z23&lt;&gt;"", ToGrade(Z23), "")</f>
        <v/>
      </c>
      <c r="AB23" s="58" t="str">
        <f>OWOP!L25</f>
        <v/>
      </c>
      <c r="AC23" s="59" t="str" cm="1">
        <f t="array" ref="AC23">IF(Z23&lt;&gt;"", ToRemark(Z23), "")</f>
        <v/>
      </c>
      <c r="AD23" s="60"/>
      <c r="AE23" s="57" t="str">
        <f>IFERROR(ROUND('C ARTS'!H25,0), "")</f>
        <v/>
      </c>
      <c r="AF23" s="57" t="str">
        <f>IFERROR(ROUND('C ARTS'!J25,0), "")</f>
        <v/>
      </c>
      <c r="AG23" s="56" t="str">
        <f t="shared" si="11"/>
        <v/>
      </c>
      <c r="AH23" s="57" t="str" cm="1">
        <f t="array" ref="AH23">IF(AG23&lt;&gt;"", ToGrade(AG23), "")</f>
        <v/>
      </c>
      <c r="AI23" s="58" t="str">
        <f>'C ARTS'!L25</f>
        <v/>
      </c>
      <c r="AJ23" s="59" t="str" cm="1">
        <f t="array" ref="AJ23">IF(AG23&lt;&gt;"", ToRemark(AG23), "")</f>
        <v/>
      </c>
      <c r="AK23" s="60"/>
      <c r="AL23" s="57" t="str">
        <f>IFERROR(ROUND('GH LANG'!H25,0), "")</f>
        <v/>
      </c>
      <c r="AM23" s="57" t="str">
        <f>IFERROR(ROUND('GH LANG'!J25,0), "")</f>
        <v/>
      </c>
      <c r="AN23" s="61" t="str">
        <f t="shared" si="12"/>
        <v/>
      </c>
      <c r="AO23" s="57" t="str" cm="1">
        <f t="array" ref="AO23">IF(AN23&lt;&gt;"", ToGrade(AN23), "")</f>
        <v/>
      </c>
      <c r="AP23" s="58" t="str">
        <f>'GH LANG'!L25</f>
        <v/>
      </c>
      <c r="AQ23" s="59" t="str" cm="1">
        <f t="array" ref="AQ23">IF(AN23&lt;&gt;"", ToRemark(AN23), "")</f>
        <v/>
      </c>
      <c r="AR23" s="60"/>
      <c r="AS23" s="57" t="str">
        <f>IFERROR(ROUND(COMPUTING!H25,0), "")</f>
        <v/>
      </c>
      <c r="AT23" s="57" t="str">
        <f>IFERROR(ROUND(COMPUTING!J25,0), "")</f>
        <v/>
      </c>
      <c r="AU23" s="56" t="str">
        <f t="shared" si="13"/>
        <v/>
      </c>
      <c r="AV23" s="57" t="str" cm="1">
        <f t="array" ref="AV23">IF(AU23&lt;&gt;"", ToGrade(AU23), "")</f>
        <v/>
      </c>
      <c r="AW23" s="58" t="str">
        <f>COMPUTING!L25</f>
        <v/>
      </c>
      <c r="AX23" s="59" t="str" cm="1">
        <f t="array" ref="AX23">IF(AU23&lt;&gt;"", ToRemark(AU23), "")</f>
        <v/>
      </c>
      <c r="AY23" s="62"/>
      <c r="AZ23" s="57" t="str">
        <f>IFERROR(ROUND(HISTERY!H25,0), "")</f>
        <v/>
      </c>
      <c r="BA23" s="57" t="str">
        <f>IFERROR(ROUND(HISTERY!J25,0), "")</f>
        <v/>
      </c>
      <c r="BB23" s="56" t="str">
        <f t="shared" si="14"/>
        <v/>
      </c>
      <c r="BC23" s="57" t="str" cm="1">
        <f t="array" ref="BC23">IF(BB23&lt;&gt;"", ToGrade(BB23), "")</f>
        <v/>
      </c>
      <c r="BD23" s="58" t="str">
        <f>HISTERY!L25</f>
        <v/>
      </c>
      <c r="BE23" s="59" t="str" cm="1">
        <f t="array" ref="BE23">IF(BB23&lt;&gt;"", ToRemark(BB23), "")</f>
        <v/>
      </c>
      <c r="BF23" s="60"/>
      <c r="BG23" s="57" t="str">
        <f>IFERROR(ROUND(RME!H25,0), "")</f>
        <v/>
      </c>
      <c r="BH23" s="57" t="str">
        <f>IFERROR(ROUND(RME!J25,0), "")</f>
        <v/>
      </c>
      <c r="BI23" s="56" t="str">
        <f t="shared" si="15"/>
        <v/>
      </c>
      <c r="BJ23" s="57" t="str" cm="1">
        <f t="array" ref="BJ23">IF(BI23&lt;&gt;"", ToGrade(BI23), "")</f>
        <v/>
      </c>
      <c r="BK23" s="58" t="str">
        <f>RME!L25</f>
        <v/>
      </c>
      <c r="BL23" s="59" t="str" cm="1">
        <f t="array" ref="BL23">IF(BI23&lt;&gt;"", ToRemark(BI23), "")</f>
        <v/>
      </c>
      <c r="BM23" s="74"/>
      <c r="BN23" s="97" t="str">
        <f t="shared" si="16"/>
        <v/>
      </c>
      <c r="BO23" s="106" t="str">
        <f t="shared" si="17"/>
        <v/>
      </c>
      <c r="BP23" s="98" t="str" cm="1">
        <f t="array" ref="BP23">IFERROR(OrdinalNumber(_xlfn.RANK.EQ(BN23,$BN$3:$BN$101)), "")</f>
        <v/>
      </c>
      <c r="BQ23" s="104"/>
      <c r="BR23" s="99"/>
      <c r="BS23" s="111"/>
      <c r="BT23" s="83" t="str" cm="1">
        <f t="array" ref="BT23">IF(LEN(B23)&lt;&gt;0, GetTeacherRemark(BO23), "")</f>
        <v/>
      </c>
      <c r="BU23" s="86" t="str">
        <f t="shared" si="0"/>
        <v/>
      </c>
      <c r="BV23" s="86" t="str">
        <f t="shared" si="1"/>
        <v/>
      </c>
      <c r="BW23" s="86" t="str">
        <f t="shared" si="2"/>
        <v/>
      </c>
      <c r="BX23" s="86" t="str">
        <f t="shared" si="3"/>
        <v/>
      </c>
      <c r="BY23" s="115" t="str">
        <f t="shared" si="4"/>
        <v/>
      </c>
      <c r="BZ23" s="87" t="str">
        <f t="shared" si="5"/>
        <v/>
      </c>
      <c r="CA23" s="86" t="str">
        <f t="shared" si="6"/>
        <v/>
      </c>
      <c r="CB23" s="85"/>
    </row>
    <row r="24" spans="1:80" x14ac:dyDescent="0.25">
      <c r="A24" s="53" t="str">
        <v>22</v>
      </c>
      <c r="B24" s="54" t="str">
        <v/>
      </c>
      <c r="C24" s="55" t="str">
        <f>IFERROR(ROUND(ENGLISH!H26,0), "")</f>
        <v/>
      </c>
      <c r="D24" s="55" t="str">
        <f>IFERROR(ROUND(ENGLISH!J26,0), "")</f>
        <v/>
      </c>
      <c r="E24" s="56" t="str">
        <f t="shared" si="7"/>
        <v/>
      </c>
      <c r="F24" s="57" t="str" cm="1">
        <f t="array" ref="F24">IF(E24&lt;&gt;"", ToGrade(E24), "")</f>
        <v/>
      </c>
      <c r="G24" s="58" t="str">
        <f>ENGLISH!L26</f>
        <v/>
      </c>
      <c r="H24" s="59" t="str" cm="1">
        <f t="array" ref="H24">IF(E24&lt;&gt;"", ToRemark(E24), "")</f>
        <v/>
      </c>
      <c r="I24" s="60"/>
      <c r="J24" s="55" t="str">
        <f>IFERROR(ROUND(MATHS!H26,0), "")</f>
        <v/>
      </c>
      <c r="K24" s="55" t="str">
        <f>IFERROR(ROUND(MATHS!J26,0), "")</f>
        <v/>
      </c>
      <c r="L24" s="56" t="str">
        <f t="shared" si="8"/>
        <v/>
      </c>
      <c r="M24" s="57" t="str" cm="1">
        <f t="array" ref="M24">IF(L24&lt;&gt;"", ToGrade(L24), "")</f>
        <v/>
      </c>
      <c r="N24" s="58" t="str">
        <f>MATHS!L26</f>
        <v/>
      </c>
      <c r="O24" s="59" t="str" cm="1">
        <f t="array" ref="O24">IF(L24&lt;&gt;"", ToRemark(L24), "")</f>
        <v/>
      </c>
      <c r="P24" s="60"/>
      <c r="Q24" s="57" t="str">
        <f>IFERROR(ROUND(SCIENCE!H26,0), "")</f>
        <v/>
      </c>
      <c r="R24" s="57" t="str">
        <f>IFERROR(ROUND(SCIENCE!J26,0), "")</f>
        <v/>
      </c>
      <c r="S24" s="56" t="str">
        <f t="shared" si="9"/>
        <v/>
      </c>
      <c r="T24" s="57" t="str" cm="1">
        <f t="array" ref="T24">IF(S24&lt;&gt;"", ToGrade(S24), "")</f>
        <v/>
      </c>
      <c r="U24" s="58" t="str">
        <f>SCIENCE!L26</f>
        <v/>
      </c>
      <c r="V24" s="59" t="str" cm="1">
        <f t="array" ref="V24">IF(S24&lt;&gt;"", ToRemark(S24), "")</f>
        <v/>
      </c>
      <c r="W24" s="60"/>
      <c r="X24" s="57" t="str">
        <f>IFERROR(ROUND(OWOP!H26,0), "")</f>
        <v/>
      </c>
      <c r="Y24" s="57" t="str">
        <f>IFERROR(ROUND(OWOP!J26,0), "")</f>
        <v/>
      </c>
      <c r="Z24" s="56" t="str">
        <f t="shared" si="10"/>
        <v/>
      </c>
      <c r="AA24" s="57" t="str" cm="1">
        <f t="array" ref="AA24">IF(Z24&lt;&gt;"", ToGrade(Z24), "")</f>
        <v/>
      </c>
      <c r="AB24" s="58" t="str">
        <f>OWOP!L26</f>
        <v/>
      </c>
      <c r="AC24" s="59" t="str" cm="1">
        <f t="array" ref="AC24">IF(Z24&lt;&gt;"", ToRemark(Z24), "")</f>
        <v/>
      </c>
      <c r="AD24" s="60"/>
      <c r="AE24" s="57" t="str">
        <f>IFERROR(ROUND('C ARTS'!H26,0), "")</f>
        <v/>
      </c>
      <c r="AF24" s="57" t="str">
        <f>IFERROR(ROUND('C ARTS'!J26,0), "")</f>
        <v/>
      </c>
      <c r="AG24" s="56" t="str">
        <f t="shared" si="11"/>
        <v/>
      </c>
      <c r="AH24" s="57" t="str" cm="1">
        <f t="array" ref="AH24">IF(AG24&lt;&gt;"", ToGrade(AG24), "")</f>
        <v/>
      </c>
      <c r="AI24" s="58" t="str">
        <f>'C ARTS'!L26</f>
        <v/>
      </c>
      <c r="AJ24" s="59" t="str" cm="1">
        <f t="array" ref="AJ24">IF(AG24&lt;&gt;"", ToRemark(AG24), "")</f>
        <v/>
      </c>
      <c r="AK24" s="60"/>
      <c r="AL24" s="57" t="str">
        <f>IFERROR(ROUND('GH LANG'!H26,0), "")</f>
        <v/>
      </c>
      <c r="AM24" s="57" t="str">
        <f>IFERROR(ROUND('GH LANG'!J26,0), "")</f>
        <v/>
      </c>
      <c r="AN24" s="61" t="str">
        <f t="shared" si="12"/>
        <v/>
      </c>
      <c r="AO24" s="57" t="str" cm="1">
        <f t="array" ref="AO24">IF(AN24&lt;&gt;"", ToGrade(AN24), "")</f>
        <v/>
      </c>
      <c r="AP24" s="58" t="str">
        <f>'GH LANG'!L26</f>
        <v/>
      </c>
      <c r="AQ24" s="59" t="str" cm="1">
        <f t="array" ref="AQ24">IF(AN24&lt;&gt;"", ToRemark(AN24), "")</f>
        <v/>
      </c>
      <c r="AR24" s="60"/>
      <c r="AS24" s="57" t="str">
        <f>IFERROR(ROUND(COMPUTING!H26,0), "")</f>
        <v/>
      </c>
      <c r="AT24" s="57" t="str">
        <f>IFERROR(ROUND(COMPUTING!J26,0), "")</f>
        <v/>
      </c>
      <c r="AU24" s="56" t="str">
        <f t="shared" si="13"/>
        <v/>
      </c>
      <c r="AV24" s="57" t="str" cm="1">
        <f t="array" ref="AV24">IF(AU24&lt;&gt;"", ToGrade(AU24), "")</f>
        <v/>
      </c>
      <c r="AW24" s="58" t="str">
        <f>COMPUTING!L26</f>
        <v/>
      </c>
      <c r="AX24" s="59" t="str" cm="1">
        <f t="array" ref="AX24">IF(AU24&lt;&gt;"", ToRemark(AU24), "")</f>
        <v/>
      </c>
      <c r="AY24" s="62"/>
      <c r="AZ24" s="57" t="str">
        <f>IFERROR(ROUND(HISTERY!H26,0), "")</f>
        <v/>
      </c>
      <c r="BA24" s="57" t="str">
        <f>IFERROR(ROUND(HISTERY!J26,0), "")</f>
        <v/>
      </c>
      <c r="BB24" s="56" t="str">
        <f t="shared" si="14"/>
        <v/>
      </c>
      <c r="BC24" s="57" t="str" cm="1">
        <f t="array" ref="BC24">IF(BB24&lt;&gt;"", ToGrade(BB24), "")</f>
        <v/>
      </c>
      <c r="BD24" s="58" t="str">
        <f>HISTERY!L26</f>
        <v/>
      </c>
      <c r="BE24" s="59" t="str" cm="1">
        <f t="array" ref="BE24">IF(BB24&lt;&gt;"", ToRemark(BB24), "")</f>
        <v/>
      </c>
      <c r="BF24" s="60"/>
      <c r="BG24" s="57" t="str">
        <f>IFERROR(ROUND(RME!H26,0), "")</f>
        <v/>
      </c>
      <c r="BH24" s="57" t="str">
        <f>IFERROR(ROUND(RME!J26,0), "")</f>
        <v/>
      </c>
      <c r="BI24" s="56" t="str">
        <f t="shared" si="15"/>
        <v/>
      </c>
      <c r="BJ24" s="57" t="str" cm="1">
        <f t="array" ref="BJ24">IF(BI24&lt;&gt;"", ToGrade(BI24), "")</f>
        <v/>
      </c>
      <c r="BK24" s="58" t="str">
        <f>RME!L26</f>
        <v/>
      </c>
      <c r="BL24" s="59" t="str" cm="1">
        <f t="array" ref="BL24">IF(BI24&lt;&gt;"", ToRemark(BI24), "")</f>
        <v/>
      </c>
      <c r="BM24" s="74"/>
      <c r="BN24" s="97" t="str">
        <f t="shared" si="16"/>
        <v/>
      </c>
      <c r="BO24" s="106" t="str">
        <f t="shared" si="17"/>
        <v/>
      </c>
      <c r="BP24" s="98" t="str" cm="1">
        <f t="array" ref="BP24">IFERROR(OrdinalNumber(_xlfn.RANK.EQ(BN24,$BN$3:$BN$101)), "")</f>
        <v/>
      </c>
      <c r="BQ24" s="104"/>
      <c r="BR24" s="99"/>
      <c r="BS24" s="111"/>
      <c r="BT24" s="83" t="str" cm="1">
        <f t="array" ref="BT24">IF(LEN(B24)&lt;&gt;0, GetTeacherRemark(BO24), "")</f>
        <v/>
      </c>
      <c r="BU24" s="86" t="str">
        <f t="shared" si="0"/>
        <v/>
      </c>
      <c r="BV24" s="86" t="str">
        <f t="shared" si="1"/>
        <v/>
      </c>
      <c r="BW24" s="86" t="str">
        <f t="shared" si="2"/>
        <v/>
      </c>
      <c r="BX24" s="86" t="str">
        <f t="shared" si="3"/>
        <v/>
      </c>
      <c r="BY24" s="115" t="str">
        <f t="shared" si="4"/>
        <v/>
      </c>
      <c r="BZ24" s="87" t="str">
        <f t="shared" si="5"/>
        <v/>
      </c>
      <c r="CA24" s="86" t="str">
        <f t="shared" si="6"/>
        <v/>
      </c>
      <c r="CB24" s="85"/>
    </row>
    <row r="25" spans="1:80" x14ac:dyDescent="0.25">
      <c r="A25" s="53" t="str">
        <v>23</v>
      </c>
      <c r="B25" s="54" t="str">
        <v/>
      </c>
      <c r="C25" s="55" t="str">
        <f>IFERROR(ROUND(ENGLISH!H27,0), "")</f>
        <v/>
      </c>
      <c r="D25" s="55" t="str">
        <f>IFERROR(ROUND(ENGLISH!J27,0), "")</f>
        <v/>
      </c>
      <c r="E25" s="56" t="str">
        <f t="shared" si="7"/>
        <v/>
      </c>
      <c r="F25" s="57" t="str" cm="1">
        <f t="array" ref="F25">IF(E25&lt;&gt;"", ToGrade(E25), "")</f>
        <v/>
      </c>
      <c r="G25" s="58" t="str">
        <f>ENGLISH!L27</f>
        <v/>
      </c>
      <c r="H25" s="59" t="str" cm="1">
        <f t="array" ref="H25">IF(E25&lt;&gt;"", ToRemark(E25), "")</f>
        <v/>
      </c>
      <c r="I25" s="60"/>
      <c r="J25" s="55" t="str">
        <f>IFERROR(ROUND(MATHS!H27,0), "")</f>
        <v/>
      </c>
      <c r="K25" s="55" t="str">
        <f>IFERROR(ROUND(MATHS!J27,0), "")</f>
        <v/>
      </c>
      <c r="L25" s="56" t="str">
        <f t="shared" si="8"/>
        <v/>
      </c>
      <c r="M25" s="57" t="str" cm="1">
        <f t="array" ref="M25">IF(L25&lt;&gt;"", ToGrade(L25), "")</f>
        <v/>
      </c>
      <c r="N25" s="58" t="str">
        <f>MATHS!L27</f>
        <v/>
      </c>
      <c r="O25" s="59" t="str" cm="1">
        <f t="array" ref="O25">IF(L25&lt;&gt;"", ToRemark(L25), "")</f>
        <v/>
      </c>
      <c r="P25" s="60"/>
      <c r="Q25" s="57" t="str">
        <f>IFERROR(ROUND(SCIENCE!H27,0), "")</f>
        <v/>
      </c>
      <c r="R25" s="57" t="str">
        <f>IFERROR(ROUND(SCIENCE!J27,0), "")</f>
        <v/>
      </c>
      <c r="S25" s="56" t="str">
        <f t="shared" si="9"/>
        <v/>
      </c>
      <c r="T25" s="57" t="str" cm="1">
        <f t="array" ref="T25">IF(S25&lt;&gt;"", ToGrade(S25), "")</f>
        <v/>
      </c>
      <c r="U25" s="58" t="str">
        <f>SCIENCE!L27</f>
        <v/>
      </c>
      <c r="V25" s="59" t="str" cm="1">
        <f t="array" ref="V25">IF(S25&lt;&gt;"", ToRemark(S25), "")</f>
        <v/>
      </c>
      <c r="W25" s="60"/>
      <c r="X25" s="57" t="str">
        <f>IFERROR(ROUND(OWOP!H27,0), "")</f>
        <v/>
      </c>
      <c r="Y25" s="57" t="str">
        <f>IFERROR(ROUND(OWOP!J27,0), "")</f>
        <v/>
      </c>
      <c r="Z25" s="56" t="str">
        <f t="shared" si="10"/>
        <v/>
      </c>
      <c r="AA25" s="57" t="str" cm="1">
        <f t="array" ref="AA25">IF(Z25&lt;&gt;"", ToGrade(Z25), "")</f>
        <v/>
      </c>
      <c r="AB25" s="58" t="str">
        <f>OWOP!L27</f>
        <v/>
      </c>
      <c r="AC25" s="59" t="str" cm="1">
        <f t="array" ref="AC25">IF(Z25&lt;&gt;"", ToRemark(Z25), "")</f>
        <v/>
      </c>
      <c r="AD25" s="60"/>
      <c r="AE25" s="57" t="str">
        <f>IFERROR(ROUND('C ARTS'!H27,0), "")</f>
        <v/>
      </c>
      <c r="AF25" s="57" t="str">
        <f>IFERROR(ROUND('C ARTS'!J27,0), "")</f>
        <v/>
      </c>
      <c r="AG25" s="56" t="str">
        <f t="shared" si="11"/>
        <v/>
      </c>
      <c r="AH25" s="57" t="str" cm="1">
        <f t="array" ref="AH25">IF(AG25&lt;&gt;"", ToGrade(AG25), "")</f>
        <v/>
      </c>
      <c r="AI25" s="58" t="str">
        <f>'C ARTS'!L27</f>
        <v/>
      </c>
      <c r="AJ25" s="59" t="str" cm="1">
        <f t="array" ref="AJ25">IF(AG25&lt;&gt;"", ToRemark(AG25), "")</f>
        <v/>
      </c>
      <c r="AK25" s="60"/>
      <c r="AL25" s="57" t="str">
        <f>IFERROR(ROUND('GH LANG'!H27,0), "")</f>
        <v/>
      </c>
      <c r="AM25" s="57" t="str">
        <f>IFERROR(ROUND('GH LANG'!J27,0), "")</f>
        <v/>
      </c>
      <c r="AN25" s="61" t="str">
        <f t="shared" si="12"/>
        <v/>
      </c>
      <c r="AO25" s="57" t="str" cm="1">
        <f t="array" ref="AO25">IF(AN25&lt;&gt;"", ToGrade(AN25), "")</f>
        <v/>
      </c>
      <c r="AP25" s="58" t="str">
        <f>'GH LANG'!L27</f>
        <v/>
      </c>
      <c r="AQ25" s="59" t="str" cm="1">
        <f t="array" ref="AQ25">IF(AN25&lt;&gt;"", ToRemark(AN25), "")</f>
        <v/>
      </c>
      <c r="AR25" s="60"/>
      <c r="AS25" s="57" t="str">
        <f>IFERROR(ROUND(COMPUTING!H27,0), "")</f>
        <v/>
      </c>
      <c r="AT25" s="57" t="str">
        <f>IFERROR(ROUND(COMPUTING!J27,0), "")</f>
        <v/>
      </c>
      <c r="AU25" s="56" t="str">
        <f t="shared" si="13"/>
        <v/>
      </c>
      <c r="AV25" s="57" t="str" cm="1">
        <f t="array" ref="AV25">IF(AU25&lt;&gt;"", ToGrade(AU25), "")</f>
        <v/>
      </c>
      <c r="AW25" s="58" t="str">
        <f>COMPUTING!L27</f>
        <v/>
      </c>
      <c r="AX25" s="59" t="str" cm="1">
        <f t="array" ref="AX25">IF(AU25&lt;&gt;"", ToRemark(AU25), "")</f>
        <v/>
      </c>
      <c r="AY25" s="62"/>
      <c r="AZ25" s="57" t="str">
        <f>IFERROR(ROUND(HISTERY!H27,0), "")</f>
        <v/>
      </c>
      <c r="BA25" s="57" t="str">
        <f>IFERROR(ROUND(HISTERY!J27,0), "")</f>
        <v/>
      </c>
      <c r="BB25" s="56" t="str">
        <f t="shared" si="14"/>
        <v/>
      </c>
      <c r="BC25" s="57" t="str" cm="1">
        <f t="array" ref="BC25">IF(BB25&lt;&gt;"", ToGrade(BB25), "")</f>
        <v/>
      </c>
      <c r="BD25" s="58" t="str">
        <f>HISTERY!L27</f>
        <v/>
      </c>
      <c r="BE25" s="59" t="str" cm="1">
        <f t="array" ref="BE25">IF(BB25&lt;&gt;"", ToRemark(BB25), "")</f>
        <v/>
      </c>
      <c r="BF25" s="60"/>
      <c r="BG25" s="57" t="str">
        <f>IFERROR(ROUND(RME!H27,0), "")</f>
        <v/>
      </c>
      <c r="BH25" s="57" t="str">
        <f>IFERROR(ROUND(RME!J27,0), "")</f>
        <v/>
      </c>
      <c r="BI25" s="56" t="str">
        <f t="shared" si="15"/>
        <v/>
      </c>
      <c r="BJ25" s="57" t="str" cm="1">
        <f t="array" ref="BJ25">IF(BI25&lt;&gt;"", ToGrade(BI25), "")</f>
        <v/>
      </c>
      <c r="BK25" s="58" t="str">
        <f>RME!L27</f>
        <v/>
      </c>
      <c r="BL25" s="59" t="str" cm="1">
        <f t="array" ref="BL25">IF(BI25&lt;&gt;"", ToRemark(BI25), "")</f>
        <v/>
      </c>
      <c r="BM25" s="74"/>
      <c r="BN25" s="97" t="str">
        <f t="shared" si="16"/>
        <v/>
      </c>
      <c r="BO25" s="106" t="str">
        <f t="shared" si="17"/>
        <v/>
      </c>
      <c r="BP25" s="98" t="str" cm="1">
        <f t="array" ref="BP25">IFERROR(OrdinalNumber(_xlfn.RANK.EQ(BN25,$BN$3:$BN$101)), "")</f>
        <v/>
      </c>
      <c r="BQ25" s="104"/>
      <c r="BR25" s="99"/>
      <c r="BS25" s="111"/>
      <c r="BT25" s="83" t="str" cm="1">
        <f t="array" ref="BT25">IF(LEN(B25)&lt;&gt;0, GetTeacherRemark(BO25), "")</f>
        <v/>
      </c>
      <c r="BU25" s="86" t="str">
        <f t="shared" si="0"/>
        <v/>
      </c>
      <c r="BV25" s="86" t="str">
        <f t="shared" si="1"/>
        <v/>
      </c>
      <c r="BW25" s="86" t="str">
        <f t="shared" si="2"/>
        <v/>
      </c>
      <c r="BX25" s="86" t="str">
        <f t="shared" si="3"/>
        <v/>
      </c>
      <c r="BY25" s="115" t="str">
        <f t="shared" si="4"/>
        <v/>
      </c>
      <c r="BZ25" s="87" t="str">
        <f t="shared" si="5"/>
        <v/>
      </c>
      <c r="CA25" s="86" t="str">
        <f t="shared" si="6"/>
        <v/>
      </c>
      <c r="CB25" s="85"/>
    </row>
    <row r="26" spans="1:80" x14ac:dyDescent="0.25">
      <c r="A26" s="53" t="str">
        <v>24</v>
      </c>
      <c r="B26" s="54" t="str">
        <v/>
      </c>
      <c r="C26" s="55" t="str">
        <f>IFERROR(ROUND(ENGLISH!H28,0), "")</f>
        <v/>
      </c>
      <c r="D26" s="55" t="str">
        <f>IFERROR(ROUND(ENGLISH!J28,0), "")</f>
        <v/>
      </c>
      <c r="E26" s="56" t="str">
        <f t="shared" si="7"/>
        <v/>
      </c>
      <c r="F26" s="57" t="str" cm="1">
        <f t="array" ref="F26">IF(E26&lt;&gt;"", ToGrade(E26), "")</f>
        <v/>
      </c>
      <c r="G26" s="58" t="str">
        <f>ENGLISH!L28</f>
        <v/>
      </c>
      <c r="H26" s="59" t="str" cm="1">
        <f t="array" ref="H26">IF(E26&lt;&gt;"", ToRemark(E26), "")</f>
        <v/>
      </c>
      <c r="I26" s="60"/>
      <c r="J26" s="55" t="str">
        <f>IFERROR(ROUND(MATHS!H28,0), "")</f>
        <v/>
      </c>
      <c r="K26" s="55" t="str">
        <f>IFERROR(ROUND(MATHS!J28,0), "")</f>
        <v/>
      </c>
      <c r="L26" s="56" t="str">
        <f t="shared" si="8"/>
        <v/>
      </c>
      <c r="M26" s="57" t="str" cm="1">
        <f t="array" ref="M26">IF(L26&lt;&gt;"", ToGrade(L26), "")</f>
        <v/>
      </c>
      <c r="N26" s="58" t="str">
        <f>MATHS!L28</f>
        <v/>
      </c>
      <c r="O26" s="59" t="str" cm="1">
        <f t="array" ref="O26">IF(L26&lt;&gt;"", ToRemark(L26), "")</f>
        <v/>
      </c>
      <c r="P26" s="60"/>
      <c r="Q26" s="57" t="str">
        <f>IFERROR(ROUND(SCIENCE!H28,0), "")</f>
        <v/>
      </c>
      <c r="R26" s="57" t="str">
        <f>IFERROR(ROUND(SCIENCE!J28,0), "")</f>
        <v/>
      </c>
      <c r="S26" s="56" t="str">
        <f t="shared" si="9"/>
        <v/>
      </c>
      <c r="T26" s="57" t="str" cm="1">
        <f t="array" ref="T26">IF(S26&lt;&gt;"", ToGrade(S26), "")</f>
        <v/>
      </c>
      <c r="U26" s="58" t="str">
        <f>SCIENCE!L28</f>
        <v/>
      </c>
      <c r="V26" s="59" t="str" cm="1">
        <f t="array" ref="V26">IF(S26&lt;&gt;"", ToRemark(S26), "")</f>
        <v/>
      </c>
      <c r="W26" s="60"/>
      <c r="X26" s="57" t="str">
        <f>IFERROR(ROUND(OWOP!H28,0), "")</f>
        <v/>
      </c>
      <c r="Y26" s="57" t="str">
        <f>IFERROR(ROUND(OWOP!J28,0), "")</f>
        <v/>
      </c>
      <c r="Z26" s="56" t="str">
        <f t="shared" si="10"/>
        <v/>
      </c>
      <c r="AA26" s="57" t="str" cm="1">
        <f t="array" ref="AA26">IF(Z26&lt;&gt;"", ToGrade(Z26), "")</f>
        <v/>
      </c>
      <c r="AB26" s="58" t="str">
        <f>OWOP!L28</f>
        <v/>
      </c>
      <c r="AC26" s="59" t="str" cm="1">
        <f t="array" ref="AC26">IF(Z26&lt;&gt;"", ToRemark(Z26), "")</f>
        <v/>
      </c>
      <c r="AD26" s="60"/>
      <c r="AE26" s="57" t="str">
        <f>IFERROR(ROUND('C ARTS'!H28,0), "")</f>
        <v/>
      </c>
      <c r="AF26" s="57" t="str">
        <f>IFERROR(ROUND('C ARTS'!J28,0), "")</f>
        <v/>
      </c>
      <c r="AG26" s="56" t="str">
        <f t="shared" si="11"/>
        <v/>
      </c>
      <c r="AH26" s="57" t="str" cm="1">
        <f t="array" ref="AH26">IF(AG26&lt;&gt;"", ToGrade(AG26), "")</f>
        <v/>
      </c>
      <c r="AI26" s="58" t="str">
        <f>'C ARTS'!L28</f>
        <v/>
      </c>
      <c r="AJ26" s="59" t="str" cm="1">
        <f t="array" ref="AJ26">IF(AG26&lt;&gt;"", ToRemark(AG26), "")</f>
        <v/>
      </c>
      <c r="AK26" s="60"/>
      <c r="AL26" s="57" t="str">
        <f>IFERROR(ROUND('GH LANG'!H28,0), "")</f>
        <v/>
      </c>
      <c r="AM26" s="57" t="str">
        <f>IFERROR(ROUND('GH LANG'!J28,0), "")</f>
        <v/>
      </c>
      <c r="AN26" s="61" t="str">
        <f t="shared" si="12"/>
        <v/>
      </c>
      <c r="AO26" s="57" t="str" cm="1">
        <f t="array" ref="AO26">IF(AN26&lt;&gt;"", ToGrade(AN26), "")</f>
        <v/>
      </c>
      <c r="AP26" s="58" t="str">
        <f>'GH LANG'!L28</f>
        <v/>
      </c>
      <c r="AQ26" s="59" t="str" cm="1">
        <f t="array" ref="AQ26">IF(AN26&lt;&gt;"", ToRemark(AN26), "")</f>
        <v/>
      </c>
      <c r="AR26" s="60"/>
      <c r="AS26" s="57" t="str">
        <f>IFERROR(ROUND(COMPUTING!H28,0), "")</f>
        <v/>
      </c>
      <c r="AT26" s="57" t="str">
        <f>IFERROR(ROUND(COMPUTING!J28,0), "")</f>
        <v/>
      </c>
      <c r="AU26" s="56" t="str">
        <f t="shared" si="13"/>
        <v/>
      </c>
      <c r="AV26" s="57" t="str" cm="1">
        <f t="array" ref="AV26">IF(AU26&lt;&gt;"", ToGrade(AU26), "")</f>
        <v/>
      </c>
      <c r="AW26" s="58" t="str">
        <f>COMPUTING!L28</f>
        <v/>
      </c>
      <c r="AX26" s="59" t="str" cm="1">
        <f t="array" ref="AX26">IF(AU26&lt;&gt;"", ToRemark(AU26), "")</f>
        <v/>
      </c>
      <c r="AY26" s="62"/>
      <c r="AZ26" s="57" t="str">
        <f>IFERROR(ROUND(HISTERY!H28,0), "")</f>
        <v/>
      </c>
      <c r="BA26" s="57" t="str">
        <f>IFERROR(ROUND(HISTERY!J28,0), "")</f>
        <v/>
      </c>
      <c r="BB26" s="56" t="str">
        <f t="shared" si="14"/>
        <v/>
      </c>
      <c r="BC26" s="57" t="str" cm="1">
        <f t="array" ref="BC26">IF(BB26&lt;&gt;"", ToGrade(BB26), "")</f>
        <v/>
      </c>
      <c r="BD26" s="58" t="str">
        <f>HISTERY!L28</f>
        <v/>
      </c>
      <c r="BE26" s="59" t="str" cm="1">
        <f t="array" ref="BE26">IF(BB26&lt;&gt;"", ToRemark(BB26), "")</f>
        <v/>
      </c>
      <c r="BF26" s="60"/>
      <c r="BG26" s="57" t="str">
        <f>IFERROR(ROUND(RME!H28,0), "")</f>
        <v/>
      </c>
      <c r="BH26" s="57" t="str">
        <f>IFERROR(ROUND(RME!J28,0), "")</f>
        <v/>
      </c>
      <c r="BI26" s="56" t="str">
        <f t="shared" si="15"/>
        <v/>
      </c>
      <c r="BJ26" s="57" t="str" cm="1">
        <f t="array" ref="BJ26">IF(BI26&lt;&gt;"", ToGrade(BI26), "")</f>
        <v/>
      </c>
      <c r="BK26" s="58" t="str">
        <f>RME!L28</f>
        <v/>
      </c>
      <c r="BL26" s="59" t="str" cm="1">
        <f t="array" ref="BL26">IF(BI26&lt;&gt;"", ToRemark(BI26), "")</f>
        <v/>
      </c>
      <c r="BM26" s="74"/>
      <c r="BN26" s="97" t="str">
        <f t="shared" si="16"/>
        <v/>
      </c>
      <c r="BO26" s="106" t="str">
        <f t="shared" si="17"/>
        <v/>
      </c>
      <c r="BP26" s="98" t="str" cm="1">
        <f t="array" ref="BP26">IFERROR(OrdinalNumber(_xlfn.RANK.EQ(BN26,$BN$3:$BN$101)), "")</f>
        <v/>
      </c>
      <c r="BQ26" s="104"/>
      <c r="BR26" s="99"/>
      <c r="BS26" s="111"/>
      <c r="BT26" s="83" t="str" cm="1">
        <f t="array" ref="BT26">IF(LEN(B26)&lt;&gt;0, GetTeacherRemark(BO26), "")</f>
        <v/>
      </c>
      <c r="BU26" s="86" t="str">
        <f t="shared" si="0"/>
        <v/>
      </c>
      <c r="BV26" s="86" t="str">
        <f t="shared" si="1"/>
        <v/>
      </c>
      <c r="BW26" s="86" t="str">
        <f t="shared" si="2"/>
        <v/>
      </c>
      <c r="BX26" s="86" t="str">
        <f t="shared" si="3"/>
        <v/>
      </c>
      <c r="BY26" s="115" t="str">
        <f t="shared" si="4"/>
        <v/>
      </c>
      <c r="BZ26" s="87" t="str">
        <f t="shared" si="5"/>
        <v/>
      </c>
      <c r="CA26" s="86" t="str">
        <f t="shared" si="6"/>
        <v/>
      </c>
      <c r="CB26" s="85"/>
    </row>
    <row r="27" spans="1:80" x14ac:dyDescent="0.25">
      <c r="A27" s="53" t="str">
        <v>25</v>
      </c>
      <c r="B27" s="54" t="str">
        <v/>
      </c>
      <c r="C27" s="55" t="str">
        <f>IFERROR(ROUND(ENGLISH!H29,0), "")</f>
        <v/>
      </c>
      <c r="D27" s="55" t="str">
        <f>IFERROR(ROUND(ENGLISH!J29,0), "")</f>
        <v/>
      </c>
      <c r="E27" s="56" t="str">
        <f t="shared" si="7"/>
        <v/>
      </c>
      <c r="F27" s="57" t="str" cm="1">
        <f t="array" ref="F27">IF(E27&lt;&gt;"", ToGrade(E27), "")</f>
        <v/>
      </c>
      <c r="G27" s="58" t="str">
        <f>ENGLISH!L29</f>
        <v/>
      </c>
      <c r="H27" s="59" t="str" cm="1">
        <f t="array" ref="H27">IF(E27&lt;&gt;"", ToRemark(E27), "")</f>
        <v/>
      </c>
      <c r="I27" s="60"/>
      <c r="J27" s="55" t="str">
        <f>IFERROR(ROUND(MATHS!H29,0), "")</f>
        <v/>
      </c>
      <c r="K27" s="55" t="str">
        <f>IFERROR(ROUND(MATHS!J29,0), "")</f>
        <v/>
      </c>
      <c r="L27" s="56" t="str">
        <f t="shared" si="8"/>
        <v/>
      </c>
      <c r="M27" s="57" t="str" cm="1">
        <f t="array" ref="M27">IF(L27&lt;&gt;"", ToGrade(L27), "")</f>
        <v/>
      </c>
      <c r="N27" s="58" t="str">
        <f>MATHS!L29</f>
        <v/>
      </c>
      <c r="O27" s="59" t="str" cm="1">
        <f t="array" ref="O27">IF(L27&lt;&gt;"", ToRemark(L27), "")</f>
        <v/>
      </c>
      <c r="P27" s="60"/>
      <c r="Q27" s="57" t="str">
        <f>IFERROR(ROUND(SCIENCE!H29,0), "")</f>
        <v/>
      </c>
      <c r="R27" s="57" t="str">
        <f>IFERROR(ROUND(SCIENCE!J29,0), "")</f>
        <v/>
      </c>
      <c r="S27" s="56" t="str">
        <f t="shared" si="9"/>
        <v/>
      </c>
      <c r="T27" s="57" t="str" cm="1">
        <f t="array" ref="T27">IF(S27&lt;&gt;"", ToGrade(S27), "")</f>
        <v/>
      </c>
      <c r="U27" s="58" t="str">
        <f>SCIENCE!L29</f>
        <v/>
      </c>
      <c r="V27" s="59" t="str" cm="1">
        <f t="array" ref="V27">IF(S27&lt;&gt;"", ToRemark(S27), "")</f>
        <v/>
      </c>
      <c r="W27" s="60"/>
      <c r="X27" s="57" t="str">
        <f>IFERROR(ROUND(OWOP!H29,0), "")</f>
        <v/>
      </c>
      <c r="Y27" s="57" t="str">
        <f>IFERROR(ROUND(OWOP!J29,0), "")</f>
        <v/>
      </c>
      <c r="Z27" s="56" t="str">
        <f t="shared" si="10"/>
        <v/>
      </c>
      <c r="AA27" s="57" t="str" cm="1">
        <f t="array" ref="AA27">IF(Z27&lt;&gt;"", ToGrade(Z27), "")</f>
        <v/>
      </c>
      <c r="AB27" s="58" t="str">
        <f>OWOP!L29</f>
        <v/>
      </c>
      <c r="AC27" s="59" t="str" cm="1">
        <f t="array" ref="AC27">IF(Z27&lt;&gt;"", ToRemark(Z27), "")</f>
        <v/>
      </c>
      <c r="AD27" s="60"/>
      <c r="AE27" s="57" t="str">
        <f>IFERROR(ROUND('C ARTS'!H29,0), "")</f>
        <v/>
      </c>
      <c r="AF27" s="57" t="str">
        <f>IFERROR(ROUND('C ARTS'!J29,0), "")</f>
        <v/>
      </c>
      <c r="AG27" s="56" t="str">
        <f t="shared" si="11"/>
        <v/>
      </c>
      <c r="AH27" s="57" t="str" cm="1">
        <f t="array" ref="AH27">IF(AG27&lt;&gt;"", ToGrade(AG27), "")</f>
        <v/>
      </c>
      <c r="AI27" s="58" t="str">
        <f>'C ARTS'!L29</f>
        <v/>
      </c>
      <c r="AJ27" s="59" t="str" cm="1">
        <f t="array" ref="AJ27">IF(AG27&lt;&gt;"", ToRemark(AG27), "")</f>
        <v/>
      </c>
      <c r="AK27" s="60"/>
      <c r="AL27" s="57" t="str">
        <f>IFERROR(ROUND('GH LANG'!H29,0), "")</f>
        <v/>
      </c>
      <c r="AM27" s="57" t="str">
        <f>IFERROR(ROUND('GH LANG'!J29,0), "")</f>
        <v/>
      </c>
      <c r="AN27" s="61" t="str">
        <f t="shared" si="12"/>
        <v/>
      </c>
      <c r="AO27" s="57" t="str" cm="1">
        <f t="array" ref="AO27">IF(AN27&lt;&gt;"", ToGrade(AN27), "")</f>
        <v/>
      </c>
      <c r="AP27" s="58" t="str">
        <f>'GH LANG'!L29</f>
        <v/>
      </c>
      <c r="AQ27" s="59" t="str" cm="1">
        <f t="array" ref="AQ27">IF(AN27&lt;&gt;"", ToRemark(AN27), "")</f>
        <v/>
      </c>
      <c r="AR27" s="60"/>
      <c r="AS27" s="57" t="str">
        <f>IFERROR(ROUND(COMPUTING!H29,0), "")</f>
        <v/>
      </c>
      <c r="AT27" s="57" t="str">
        <f>IFERROR(ROUND(COMPUTING!J29,0), "")</f>
        <v/>
      </c>
      <c r="AU27" s="56" t="str">
        <f t="shared" si="13"/>
        <v/>
      </c>
      <c r="AV27" s="57" t="str" cm="1">
        <f t="array" ref="AV27">IF(AU27&lt;&gt;"", ToGrade(AU27), "")</f>
        <v/>
      </c>
      <c r="AW27" s="58" t="str">
        <f>COMPUTING!L29</f>
        <v/>
      </c>
      <c r="AX27" s="59" t="str" cm="1">
        <f t="array" ref="AX27">IF(AU27&lt;&gt;"", ToRemark(AU27), "")</f>
        <v/>
      </c>
      <c r="AY27" s="62"/>
      <c r="AZ27" s="57" t="str">
        <f>IFERROR(ROUND(HISTERY!H29,0), "")</f>
        <v/>
      </c>
      <c r="BA27" s="57" t="str">
        <f>IFERROR(ROUND(HISTERY!J29,0), "")</f>
        <v/>
      </c>
      <c r="BB27" s="56" t="str">
        <f t="shared" si="14"/>
        <v/>
      </c>
      <c r="BC27" s="57" t="str" cm="1">
        <f t="array" ref="BC27">IF(BB27&lt;&gt;"", ToGrade(BB27), "")</f>
        <v/>
      </c>
      <c r="BD27" s="58" t="str">
        <f>HISTERY!L29</f>
        <v/>
      </c>
      <c r="BE27" s="59" t="str" cm="1">
        <f t="array" ref="BE27">IF(BB27&lt;&gt;"", ToRemark(BB27), "")</f>
        <v/>
      </c>
      <c r="BF27" s="60"/>
      <c r="BG27" s="57" t="str">
        <f>IFERROR(ROUND(RME!H29,0), "")</f>
        <v/>
      </c>
      <c r="BH27" s="57" t="str">
        <f>IFERROR(ROUND(RME!J29,0), "")</f>
        <v/>
      </c>
      <c r="BI27" s="56" t="str">
        <f t="shared" si="15"/>
        <v/>
      </c>
      <c r="BJ27" s="57" t="str" cm="1">
        <f t="array" ref="BJ27">IF(BI27&lt;&gt;"", ToGrade(BI27), "")</f>
        <v/>
      </c>
      <c r="BK27" s="58" t="str">
        <f>RME!L29</f>
        <v/>
      </c>
      <c r="BL27" s="59" t="str" cm="1">
        <f t="array" ref="BL27">IF(BI27&lt;&gt;"", ToRemark(BI27), "")</f>
        <v/>
      </c>
      <c r="BM27" s="74"/>
      <c r="BN27" s="97" t="str">
        <f t="shared" si="16"/>
        <v/>
      </c>
      <c r="BO27" s="106" t="str">
        <f t="shared" si="17"/>
        <v/>
      </c>
      <c r="BP27" s="98" t="str" cm="1">
        <f t="array" ref="BP27">IFERROR(OrdinalNumber(_xlfn.RANK.EQ(BN27,$BN$3:$BN$101)), "")</f>
        <v/>
      </c>
      <c r="BQ27" s="104"/>
      <c r="BR27" s="99"/>
      <c r="BS27" s="111"/>
      <c r="BT27" s="83" t="str" cm="1">
        <f t="array" ref="BT27">IF(LEN(B27)&lt;&gt;0, GetTeacherRemark(BO27), "")</f>
        <v/>
      </c>
      <c r="BU27" s="86" t="str">
        <f t="shared" si="0"/>
        <v/>
      </c>
      <c r="BV27" s="86" t="str">
        <f t="shared" si="1"/>
        <v/>
      </c>
      <c r="BW27" s="86" t="str">
        <f t="shared" si="2"/>
        <v/>
      </c>
      <c r="BX27" s="86" t="str">
        <f t="shared" si="3"/>
        <v/>
      </c>
      <c r="BY27" s="115" t="str">
        <f t="shared" si="4"/>
        <v/>
      </c>
      <c r="BZ27" s="87" t="str">
        <f t="shared" si="5"/>
        <v/>
      </c>
      <c r="CA27" s="86" t="str">
        <f t="shared" si="6"/>
        <v/>
      </c>
      <c r="CB27" s="85"/>
    </row>
    <row r="28" spans="1:80" x14ac:dyDescent="0.25">
      <c r="A28" s="53" t="str">
        <v>26</v>
      </c>
      <c r="B28" s="54" t="str">
        <v/>
      </c>
      <c r="C28" s="55" t="str">
        <f>IFERROR(ROUND(ENGLISH!H30,0), "")</f>
        <v/>
      </c>
      <c r="D28" s="55" t="str">
        <f>IFERROR(ROUND(ENGLISH!J30,0), "")</f>
        <v/>
      </c>
      <c r="E28" s="56" t="str">
        <f t="shared" si="7"/>
        <v/>
      </c>
      <c r="F28" s="57" t="str" cm="1">
        <f t="array" ref="F28">IF(E28&lt;&gt;"", ToGrade(E28), "")</f>
        <v/>
      </c>
      <c r="G28" s="58" t="str">
        <f>ENGLISH!L30</f>
        <v/>
      </c>
      <c r="H28" s="59" t="str" cm="1">
        <f t="array" ref="H28">IF(E28&lt;&gt;"", ToRemark(E28), "")</f>
        <v/>
      </c>
      <c r="I28" s="60"/>
      <c r="J28" s="55" t="str">
        <f>IFERROR(ROUND(MATHS!H30,0), "")</f>
        <v/>
      </c>
      <c r="K28" s="55" t="str">
        <f>IFERROR(ROUND(MATHS!J30,0), "")</f>
        <v/>
      </c>
      <c r="L28" s="56" t="str">
        <f t="shared" si="8"/>
        <v/>
      </c>
      <c r="M28" s="57" t="str" cm="1">
        <f t="array" ref="M28">IF(L28&lt;&gt;"", ToGrade(L28), "")</f>
        <v/>
      </c>
      <c r="N28" s="58" t="str">
        <f>MATHS!L30</f>
        <v/>
      </c>
      <c r="O28" s="59" t="str" cm="1">
        <f t="array" ref="O28">IF(L28&lt;&gt;"", ToRemark(L28), "")</f>
        <v/>
      </c>
      <c r="P28" s="60"/>
      <c r="Q28" s="57" t="str">
        <f>IFERROR(ROUND(SCIENCE!H30,0), "")</f>
        <v/>
      </c>
      <c r="R28" s="57" t="str">
        <f>IFERROR(ROUND(SCIENCE!J30,0), "")</f>
        <v/>
      </c>
      <c r="S28" s="56" t="str">
        <f t="shared" si="9"/>
        <v/>
      </c>
      <c r="T28" s="57" t="str" cm="1">
        <f t="array" ref="T28">IF(S28&lt;&gt;"", ToGrade(S28), "")</f>
        <v/>
      </c>
      <c r="U28" s="58" t="str">
        <f>SCIENCE!L30</f>
        <v/>
      </c>
      <c r="V28" s="59" t="str" cm="1">
        <f t="array" ref="V28">IF(S28&lt;&gt;"", ToRemark(S28), "")</f>
        <v/>
      </c>
      <c r="W28" s="60"/>
      <c r="X28" s="57" t="str">
        <f>IFERROR(ROUND(OWOP!H30,0), "")</f>
        <v/>
      </c>
      <c r="Y28" s="57" t="str">
        <f>IFERROR(ROUND(OWOP!J30,0), "")</f>
        <v/>
      </c>
      <c r="Z28" s="56" t="str">
        <f t="shared" si="10"/>
        <v/>
      </c>
      <c r="AA28" s="57" t="str" cm="1">
        <f t="array" ref="AA28">IF(Z28&lt;&gt;"", ToGrade(Z28), "")</f>
        <v/>
      </c>
      <c r="AB28" s="58" t="str">
        <f>OWOP!L30</f>
        <v/>
      </c>
      <c r="AC28" s="59" t="str" cm="1">
        <f t="array" ref="AC28">IF(Z28&lt;&gt;"", ToRemark(Z28), "")</f>
        <v/>
      </c>
      <c r="AD28" s="60"/>
      <c r="AE28" s="57" t="str">
        <f>IFERROR(ROUND('C ARTS'!H30,0), "")</f>
        <v/>
      </c>
      <c r="AF28" s="57" t="str">
        <f>IFERROR(ROUND('C ARTS'!J30,0), "")</f>
        <v/>
      </c>
      <c r="AG28" s="56" t="str">
        <f t="shared" si="11"/>
        <v/>
      </c>
      <c r="AH28" s="57" t="str" cm="1">
        <f t="array" ref="AH28">IF(AG28&lt;&gt;"", ToGrade(AG28), "")</f>
        <v/>
      </c>
      <c r="AI28" s="58" t="str">
        <f>'C ARTS'!L30</f>
        <v/>
      </c>
      <c r="AJ28" s="59" t="str" cm="1">
        <f t="array" ref="AJ28">IF(AG28&lt;&gt;"", ToRemark(AG28), "")</f>
        <v/>
      </c>
      <c r="AK28" s="60"/>
      <c r="AL28" s="57" t="str">
        <f>IFERROR(ROUND('GH LANG'!H30,0), "")</f>
        <v/>
      </c>
      <c r="AM28" s="57" t="str">
        <f>IFERROR(ROUND('GH LANG'!J30,0), "")</f>
        <v/>
      </c>
      <c r="AN28" s="61" t="str">
        <f t="shared" si="12"/>
        <v/>
      </c>
      <c r="AO28" s="57" t="str" cm="1">
        <f t="array" ref="AO28">IF(AN28&lt;&gt;"", ToGrade(AN28), "")</f>
        <v/>
      </c>
      <c r="AP28" s="58" t="str">
        <f>'GH LANG'!L30</f>
        <v/>
      </c>
      <c r="AQ28" s="59" t="str" cm="1">
        <f t="array" ref="AQ28">IF(AN28&lt;&gt;"", ToRemark(AN28), "")</f>
        <v/>
      </c>
      <c r="AR28" s="60"/>
      <c r="AS28" s="57" t="str">
        <f>IFERROR(ROUND(COMPUTING!H30,0), "")</f>
        <v/>
      </c>
      <c r="AT28" s="57" t="str">
        <f>IFERROR(ROUND(COMPUTING!J30,0), "")</f>
        <v/>
      </c>
      <c r="AU28" s="56" t="str">
        <f t="shared" si="13"/>
        <v/>
      </c>
      <c r="AV28" s="57" t="str" cm="1">
        <f t="array" ref="AV28">IF(AU28&lt;&gt;"", ToGrade(AU28), "")</f>
        <v/>
      </c>
      <c r="AW28" s="58" t="str">
        <f>COMPUTING!L30</f>
        <v/>
      </c>
      <c r="AX28" s="59" t="str" cm="1">
        <f t="array" ref="AX28">IF(AU28&lt;&gt;"", ToRemark(AU28), "")</f>
        <v/>
      </c>
      <c r="AY28" s="62"/>
      <c r="AZ28" s="57" t="str">
        <f>IFERROR(ROUND(HISTERY!H30,0), "")</f>
        <v/>
      </c>
      <c r="BA28" s="57" t="str">
        <f>IFERROR(ROUND(HISTERY!J30,0), "")</f>
        <v/>
      </c>
      <c r="BB28" s="56" t="str">
        <f t="shared" si="14"/>
        <v/>
      </c>
      <c r="BC28" s="57" t="str" cm="1">
        <f t="array" ref="BC28">IF(BB28&lt;&gt;"", ToGrade(BB28), "")</f>
        <v/>
      </c>
      <c r="BD28" s="58" t="str">
        <f>HISTERY!L30</f>
        <v/>
      </c>
      <c r="BE28" s="59" t="str" cm="1">
        <f t="array" ref="BE28">IF(BB28&lt;&gt;"", ToRemark(BB28), "")</f>
        <v/>
      </c>
      <c r="BF28" s="60"/>
      <c r="BG28" s="57" t="str">
        <f>IFERROR(ROUND(RME!H30,0), "")</f>
        <v/>
      </c>
      <c r="BH28" s="57" t="str">
        <f>IFERROR(ROUND(RME!J30,0), "")</f>
        <v/>
      </c>
      <c r="BI28" s="56" t="str">
        <f t="shared" si="15"/>
        <v/>
      </c>
      <c r="BJ28" s="57" t="str" cm="1">
        <f t="array" ref="BJ28">IF(BI28&lt;&gt;"", ToGrade(BI28), "")</f>
        <v/>
      </c>
      <c r="BK28" s="58" t="str">
        <f>RME!L30</f>
        <v/>
      </c>
      <c r="BL28" s="59" t="str" cm="1">
        <f t="array" ref="BL28">IF(BI28&lt;&gt;"", ToRemark(BI28), "")</f>
        <v/>
      </c>
      <c r="BM28" s="74"/>
      <c r="BN28" s="97" t="str">
        <f t="shared" si="16"/>
        <v/>
      </c>
      <c r="BO28" s="106" t="str">
        <f t="shared" si="17"/>
        <v/>
      </c>
      <c r="BP28" s="98" t="str" cm="1">
        <f t="array" ref="BP28">IFERROR(OrdinalNumber(_xlfn.RANK.EQ(BN28,$BN$3:$BN$101)), "")</f>
        <v/>
      </c>
      <c r="BQ28" s="104"/>
      <c r="BR28" s="99"/>
      <c r="BS28" s="111"/>
      <c r="BT28" s="83" t="str" cm="1">
        <f t="array" ref="BT28">IF(LEN(B28)&lt;&gt;0, GetTeacherRemark(BO28), "")</f>
        <v/>
      </c>
      <c r="BU28" s="86" t="str">
        <f t="shared" si="0"/>
        <v/>
      </c>
      <c r="BV28" s="86" t="str">
        <f t="shared" si="1"/>
        <v/>
      </c>
      <c r="BW28" s="86" t="str">
        <f t="shared" si="2"/>
        <v/>
      </c>
      <c r="BX28" s="86" t="str">
        <f t="shared" si="3"/>
        <v/>
      </c>
      <c r="BY28" s="115" t="str">
        <f t="shared" si="4"/>
        <v/>
      </c>
      <c r="BZ28" s="87" t="str">
        <f t="shared" si="5"/>
        <v/>
      </c>
      <c r="CA28" s="86" t="str">
        <f t="shared" si="6"/>
        <v/>
      </c>
      <c r="CB28" s="85"/>
    </row>
    <row r="29" spans="1:80" x14ac:dyDescent="0.25">
      <c r="A29" s="53" t="str">
        <v>27</v>
      </c>
      <c r="B29" s="54" t="str">
        <v/>
      </c>
      <c r="C29" s="55" t="str">
        <f>IFERROR(ROUND(ENGLISH!H31,0), "")</f>
        <v/>
      </c>
      <c r="D29" s="55" t="str">
        <f>IFERROR(ROUND(ENGLISH!J31,0), "")</f>
        <v/>
      </c>
      <c r="E29" s="56" t="str">
        <f t="shared" si="7"/>
        <v/>
      </c>
      <c r="F29" s="57" t="str" cm="1">
        <f t="array" ref="F29">IF(E29&lt;&gt;"", ToGrade(E29), "")</f>
        <v/>
      </c>
      <c r="G29" s="58" t="str">
        <f>ENGLISH!L31</f>
        <v/>
      </c>
      <c r="H29" s="59" t="str" cm="1">
        <f t="array" ref="H29">IF(E29&lt;&gt;"", ToRemark(E29), "")</f>
        <v/>
      </c>
      <c r="I29" s="60"/>
      <c r="J29" s="55" t="str">
        <f>IFERROR(ROUND(MATHS!H31,0), "")</f>
        <v/>
      </c>
      <c r="K29" s="55" t="str">
        <f>IFERROR(ROUND(MATHS!J31,0), "")</f>
        <v/>
      </c>
      <c r="L29" s="56" t="str">
        <f t="shared" si="8"/>
        <v/>
      </c>
      <c r="M29" s="57" t="str" cm="1">
        <f t="array" ref="M29">IF(L29&lt;&gt;"", ToGrade(L29), "")</f>
        <v/>
      </c>
      <c r="N29" s="58" t="str">
        <f>MATHS!L31</f>
        <v/>
      </c>
      <c r="O29" s="59" t="str" cm="1">
        <f t="array" ref="O29">IF(L29&lt;&gt;"", ToRemark(L29), "")</f>
        <v/>
      </c>
      <c r="P29" s="60"/>
      <c r="Q29" s="57" t="str">
        <f>IFERROR(ROUND(SCIENCE!H31,0), "")</f>
        <v/>
      </c>
      <c r="R29" s="57" t="str">
        <f>IFERROR(ROUND(SCIENCE!J31,0), "")</f>
        <v/>
      </c>
      <c r="S29" s="56" t="str">
        <f t="shared" si="9"/>
        <v/>
      </c>
      <c r="T29" s="57" t="str" cm="1">
        <f t="array" ref="T29">IF(S29&lt;&gt;"", ToGrade(S29), "")</f>
        <v/>
      </c>
      <c r="U29" s="58" t="str">
        <f>SCIENCE!L31</f>
        <v/>
      </c>
      <c r="V29" s="59" t="str" cm="1">
        <f t="array" ref="V29">IF(S29&lt;&gt;"", ToRemark(S29), "")</f>
        <v/>
      </c>
      <c r="W29" s="60"/>
      <c r="X29" s="57" t="str">
        <f>IFERROR(ROUND(OWOP!H31,0), "")</f>
        <v/>
      </c>
      <c r="Y29" s="57" t="str">
        <f>IFERROR(ROUND(OWOP!J31,0), "")</f>
        <v/>
      </c>
      <c r="Z29" s="56" t="str">
        <f t="shared" si="10"/>
        <v/>
      </c>
      <c r="AA29" s="57" t="str" cm="1">
        <f t="array" ref="AA29">IF(Z29&lt;&gt;"", ToGrade(Z29), "")</f>
        <v/>
      </c>
      <c r="AB29" s="58" t="str">
        <f>OWOP!L31</f>
        <v/>
      </c>
      <c r="AC29" s="59" t="str" cm="1">
        <f t="array" ref="AC29">IF(Z29&lt;&gt;"", ToRemark(Z29), "")</f>
        <v/>
      </c>
      <c r="AD29" s="60"/>
      <c r="AE29" s="57" t="str">
        <f>IFERROR(ROUND('C ARTS'!H31,0), "")</f>
        <v/>
      </c>
      <c r="AF29" s="57" t="str">
        <f>IFERROR(ROUND('C ARTS'!J31,0), "")</f>
        <v/>
      </c>
      <c r="AG29" s="56" t="str">
        <f t="shared" si="11"/>
        <v/>
      </c>
      <c r="AH29" s="57" t="str" cm="1">
        <f t="array" ref="AH29">IF(AG29&lt;&gt;"", ToGrade(AG29), "")</f>
        <v/>
      </c>
      <c r="AI29" s="58" t="str">
        <f>'C ARTS'!L31</f>
        <v/>
      </c>
      <c r="AJ29" s="59" t="str" cm="1">
        <f t="array" ref="AJ29">IF(AG29&lt;&gt;"", ToRemark(AG29), "")</f>
        <v/>
      </c>
      <c r="AK29" s="60"/>
      <c r="AL29" s="57" t="str">
        <f>IFERROR(ROUND('GH LANG'!H31,0), "")</f>
        <v/>
      </c>
      <c r="AM29" s="57" t="str">
        <f>IFERROR(ROUND('GH LANG'!J31,0), "")</f>
        <v/>
      </c>
      <c r="AN29" s="61" t="str">
        <f t="shared" si="12"/>
        <v/>
      </c>
      <c r="AO29" s="57" t="str" cm="1">
        <f t="array" ref="AO29">IF(AN29&lt;&gt;"", ToGrade(AN29), "")</f>
        <v/>
      </c>
      <c r="AP29" s="58" t="str">
        <f>'GH LANG'!L31</f>
        <v/>
      </c>
      <c r="AQ29" s="59" t="str" cm="1">
        <f t="array" ref="AQ29">IF(AN29&lt;&gt;"", ToRemark(AN29), "")</f>
        <v/>
      </c>
      <c r="AR29" s="60"/>
      <c r="AS29" s="57" t="str">
        <f>IFERROR(ROUND(COMPUTING!H31,0), "")</f>
        <v/>
      </c>
      <c r="AT29" s="57" t="str">
        <f>IFERROR(ROUND(COMPUTING!J31,0), "")</f>
        <v/>
      </c>
      <c r="AU29" s="56" t="str">
        <f t="shared" si="13"/>
        <v/>
      </c>
      <c r="AV29" s="57" t="str" cm="1">
        <f t="array" ref="AV29">IF(AU29&lt;&gt;"", ToGrade(AU29), "")</f>
        <v/>
      </c>
      <c r="AW29" s="58" t="str">
        <f>COMPUTING!L31</f>
        <v/>
      </c>
      <c r="AX29" s="59" t="str" cm="1">
        <f t="array" ref="AX29">IF(AU29&lt;&gt;"", ToRemark(AU29), "")</f>
        <v/>
      </c>
      <c r="AY29" s="62"/>
      <c r="AZ29" s="57" t="str">
        <f>IFERROR(ROUND(HISTERY!H31,0), "")</f>
        <v/>
      </c>
      <c r="BA29" s="57" t="str">
        <f>IFERROR(ROUND(HISTERY!J31,0), "")</f>
        <v/>
      </c>
      <c r="BB29" s="56" t="str">
        <f t="shared" si="14"/>
        <v/>
      </c>
      <c r="BC29" s="57" t="str" cm="1">
        <f t="array" ref="BC29">IF(BB29&lt;&gt;"", ToGrade(BB29), "")</f>
        <v/>
      </c>
      <c r="BD29" s="58" t="str">
        <f>HISTERY!L31</f>
        <v/>
      </c>
      <c r="BE29" s="59" t="str" cm="1">
        <f t="array" ref="BE29">IF(BB29&lt;&gt;"", ToRemark(BB29), "")</f>
        <v/>
      </c>
      <c r="BF29" s="60"/>
      <c r="BG29" s="57" t="str">
        <f>IFERROR(ROUND(RME!H31,0), "")</f>
        <v/>
      </c>
      <c r="BH29" s="57" t="str">
        <f>IFERROR(ROUND(RME!J31,0), "")</f>
        <v/>
      </c>
      <c r="BI29" s="56" t="str">
        <f t="shared" si="15"/>
        <v/>
      </c>
      <c r="BJ29" s="57" t="str" cm="1">
        <f t="array" ref="BJ29">IF(BI29&lt;&gt;"", ToGrade(BI29), "")</f>
        <v/>
      </c>
      <c r="BK29" s="58" t="str">
        <f>RME!L31</f>
        <v/>
      </c>
      <c r="BL29" s="59" t="str" cm="1">
        <f t="array" ref="BL29">IF(BI29&lt;&gt;"", ToRemark(BI29), "")</f>
        <v/>
      </c>
      <c r="BM29" s="74"/>
      <c r="BN29" s="97" t="str">
        <f t="shared" si="16"/>
        <v/>
      </c>
      <c r="BO29" s="106" t="str">
        <f t="shared" si="17"/>
        <v/>
      </c>
      <c r="BP29" s="98" t="str" cm="1">
        <f t="array" ref="BP29">IFERROR(OrdinalNumber(_xlfn.RANK.EQ(BN29,$BN$3:$BN$101)), "")</f>
        <v/>
      </c>
      <c r="BQ29" s="104"/>
      <c r="BR29" s="99"/>
      <c r="BS29" s="111"/>
      <c r="BT29" s="83" t="str" cm="1">
        <f t="array" ref="BT29">IF(LEN(B29)&lt;&gt;0, GetTeacherRemark(BO29), "")</f>
        <v/>
      </c>
      <c r="BU29" s="86" t="str">
        <f t="shared" si="0"/>
        <v/>
      </c>
      <c r="BV29" s="86" t="str">
        <f t="shared" si="1"/>
        <v/>
      </c>
      <c r="BW29" s="86" t="str">
        <f t="shared" si="2"/>
        <v/>
      </c>
      <c r="BX29" s="86" t="str">
        <f t="shared" si="3"/>
        <v/>
      </c>
      <c r="BY29" s="115" t="str">
        <f t="shared" si="4"/>
        <v/>
      </c>
      <c r="BZ29" s="87" t="str">
        <f t="shared" si="5"/>
        <v/>
      </c>
      <c r="CA29" s="86" t="str">
        <f t="shared" si="6"/>
        <v/>
      </c>
      <c r="CB29" s="85"/>
    </row>
    <row r="30" spans="1:80" x14ac:dyDescent="0.25">
      <c r="A30" s="53" t="str">
        <v>28</v>
      </c>
      <c r="B30" s="54" t="str">
        <v/>
      </c>
      <c r="C30" s="55" t="str">
        <f>IFERROR(ROUND(ENGLISH!H32,0), "")</f>
        <v/>
      </c>
      <c r="D30" s="55" t="str">
        <f>IFERROR(ROUND(ENGLISH!J32,0), "")</f>
        <v/>
      </c>
      <c r="E30" s="56" t="str">
        <f t="shared" si="7"/>
        <v/>
      </c>
      <c r="F30" s="57" t="str" cm="1">
        <f t="array" ref="F30">IF(E30&lt;&gt;"", ToGrade(E30), "")</f>
        <v/>
      </c>
      <c r="G30" s="58" t="str">
        <f>ENGLISH!L32</f>
        <v/>
      </c>
      <c r="H30" s="59" t="str" cm="1">
        <f t="array" ref="H30">IF(E30&lt;&gt;"", ToRemark(E30), "")</f>
        <v/>
      </c>
      <c r="I30" s="60"/>
      <c r="J30" s="55" t="str">
        <f>IFERROR(ROUND(MATHS!H32,0), "")</f>
        <v/>
      </c>
      <c r="K30" s="55" t="str">
        <f>IFERROR(ROUND(MATHS!J32,0), "")</f>
        <v/>
      </c>
      <c r="L30" s="56" t="str">
        <f t="shared" si="8"/>
        <v/>
      </c>
      <c r="M30" s="57" t="str" cm="1">
        <f t="array" ref="M30">IF(L30&lt;&gt;"", ToGrade(L30), "")</f>
        <v/>
      </c>
      <c r="N30" s="58" t="str">
        <f>MATHS!L32</f>
        <v/>
      </c>
      <c r="O30" s="59" t="str" cm="1">
        <f t="array" ref="O30">IF(L30&lt;&gt;"", ToRemark(L30), "")</f>
        <v/>
      </c>
      <c r="P30" s="60"/>
      <c r="Q30" s="57" t="str">
        <f>IFERROR(ROUND(SCIENCE!H32,0), "")</f>
        <v/>
      </c>
      <c r="R30" s="57" t="str">
        <f>IFERROR(ROUND(SCIENCE!J32,0), "")</f>
        <v/>
      </c>
      <c r="S30" s="56" t="str">
        <f t="shared" si="9"/>
        <v/>
      </c>
      <c r="T30" s="57" t="str" cm="1">
        <f t="array" ref="T30">IF(S30&lt;&gt;"", ToGrade(S30), "")</f>
        <v/>
      </c>
      <c r="U30" s="58" t="str">
        <f>SCIENCE!L32</f>
        <v/>
      </c>
      <c r="V30" s="59" t="str" cm="1">
        <f t="array" ref="V30">IF(S30&lt;&gt;"", ToRemark(S30), "")</f>
        <v/>
      </c>
      <c r="W30" s="60"/>
      <c r="X30" s="57" t="str">
        <f>IFERROR(ROUND(OWOP!H32,0), "")</f>
        <v/>
      </c>
      <c r="Y30" s="57" t="str">
        <f>IFERROR(ROUND(OWOP!J32,0), "")</f>
        <v/>
      </c>
      <c r="Z30" s="56" t="str">
        <f t="shared" si="10"/>
        <v/>
      </c>
      <c r="AA30" s="57" t="str" cm="1">
        <f t="array" ref="AA30">IF(Z30&lt;&gt;"", ToGrade(Z30), "")</f>
        <v/>
      </c>
      <c r="AB30" s="58" t="str">
        <f>OWOP!L32</f>
        <v/>
      </c>
      <c r="AC30" s="59" t="str" cm="1">
        <f t="array" ref="AC30">IF(Z30&lt;&gt;"", ToRemark(Z30), "")</f>
        <v/>
      </c>
      <c r="AD30" s="60"/>
      <c r="AE30" s="57" t="str">
        <f>IFERROR(ROUND('C ARTS'!H32,0), "")</f>
        <v/>
      </c>
      <c r="AF30" s="57" t="str">
        <f>IFERROR(ROUND('C ARTS'!J32,0), "")</f>
        <v/>
      </c>
      <c r="AG30" s="56" t="str">
        <f t="shared" si="11"/>
        <v/>
      </c>
      <c r="AH30" s="57" t="str" cm="1">
        <f t="array" ref="AH30">IF(AG30&lt;&gt;"", ToGrade(AG30), "")</f>
        <v/>
      </c>
      <c r="AI30" s="58" t="str">
        <f>'C ARTS'!L32</f>
        <v/>
      </c>
      <c r="AJ30" s="59" t="str" cm="1">
        <f t="array" ref="AJ30">IF(AG30&lt;&gt;"", ToRemark(AG30), "")</f>
        <v/>
      </c>
      <c r="AK30" s="60"/>
      <c r="AL30" s="57" t="str">
        <f>IFERROR(ROUND('GH LANG'!H32,0), "")</f>
        <v/>
      </c>
      <c r="AM30" s="57" t="str">
        <f>IFERROR(ROUND('GH LANG'!J32,0), "")</f>
        <v/>
      </c>
      <c r="AN30" s="61" t="str">
        <f t="shared" si="12"/>
        <v/>
      </c>
      <c r="AO30" s="57" t="str" cm="1">
        <f t="array" ref="AO30">IF(AN30&lt;&gt;"", ToGrade(AN30), "")</f>
        <v/>
      </c>
      <c r="AP30" s="58" t="str">
        <f>'GH LANG'!L32</f>
        <v/>
      </c>
      <c r="AQ30" s="59" t="str" cm="1">
        <f t="array" ref="AQ30">IF(AN30&lt;&gt;"", ToRemark(AN30), "")</f>
        <v/>
      </c>
      <c r="AR30" s="60"/>
      <c r="AS30" s="57" t="str">
        <f>IFERROR(ROUND(COMPUTING!H32,0), "")</f>
        <v/>
      </c>
      <c r="AT30" s="57" t="str">
        <f>IFERROR(ROUND(COMPUTING!J32,0), "")</f>
        <v/>
      </c>
      <c r="AU30" s="56" t="str">
        <f t="shared" si="13"/>
        <v/>
      </c>
      <c r="AV30" s="57" t="str" cm="1">
        <f t="array" ref="AV30">IF(AU30&lt;&gt;"", ToGrade(AU30), "")</f>
        <v/>
      </c>
      <c r="AW30" s="58" t="str">
        <f>COMPUTING!L32</f>
        <v/>
      </c>
      <c r="AX30" s="59" t="str" cm="1">
        <f t="array" ref="AX30">IF(AU30&lt;&gt;"", ToRemark(AU30), "")</f>
        <v/>
      </c>
      <c r="AY30" s="62"/>
      <c r="AZ30" s="57" t="str">
        <f>IFERROR(ROUND(HISTERY!H32,0), "")</f>
        <v/>
      </c>
      <c r="BA30" s="57" t="str">
        <f>IFERROR(ROUND(HISTERY!J32,0), "")</f>
        <v/>
      </c>
      <c r="BB30" s="56" t="str">
        <f t="shared" si="14"/>
        <v/>
      </c>
      <c r="BC30" s="57" t="str" cm="1">
        <f t="array" ref="BC30">IF(BB30&lt;&gt;"", ToGrade(BB30), "")</f>
        <v/>
      </c>
      <c r="BD30" s="58" t="str">
        <f>HISTERY!L32</f>
        <v/>
      </c>
      <c r="BE30" s="59" t="str" cm="1">
        <f t="array" ref="BE30">IF(BB30&lt;&gt;"", ToRemark(BB30), "")</f>
        <v/>
      </c>
      <c r="BF30" s="60"/>
      <c r="BG30" s="57" t="str">
        <f>IFERROR(ROUND(RME!H32,0), "")</f>
        <v/>
      </c>
      <c r="BH30" s="57" t="str">
        <f>IFERROR(ROUND(RME!J32,0), "")</f>
        <v/>
      </c>
      <c r="BI30" s="56" t="str">
        <f t="shared" si="15"/>
        <v/>
      </c>
      <c r="BJ30" s="57" t="str" cm="1">
        <f t="array" ref="BJ30">IF(BI30&lt;&gt;"", ToGrade(BI30), "")</f>
        <v/>
      </c>
      <c r="BK30" s="58" t="str">
        <f>RME!L32</f>
        <v/>
      </c>
      <c r="BL30" s="59" t="str" cm="1">
        <f t="array" ref="BL30">IF(BI30&lt;&gt;"", ToRemark(BI30), "")</f>
        <v/>
      </c>
      <c r="BM30" s="74"/>
      <c r="BN30" s="97" t="str">
        <f t="shared" si="16"/>
        <v/>
      </c>
      <c r="BO30" s="106" t="str">
        <f t="shared" si="17"/>
        <v/>
      </c>
      <c r="BP30" s="98" t="str" cm="1">
        <f t="array" ref="BP30">IFERROR(OrdinalNumber(_xlfn.RANK.EQ(BN30,$BN$3:$BN$101)), "")</f>
        <v/>
      </c>
      <c r="BQ30" s="104"/>
      <c r="BR30" s="99"/>
      <c r="BS30" s="111"/>
      <c r="BT30" s="83" t="str" cm="1">
        <f t="array" ref="BT30">IF(LEN(B30)&lt;&gt;0, GetTeacherRemark(BO30), "")</f>
        <v/>
      </c>
      <c r="BU30" s="86" t="str">
        <f t="shared" si="0"/>
        <v/>
      </c>
      <c r="BV30" s="86" t="str">
        <f t="shared" si="1"/>
        <v/>
      </c>
      <c r="BW30" s="86" t="str">
        <f t="shared" si="2"/>
        <v/>
      </c>
      <c r="BX30" s="86" t="str">
        <f t="shared" si="3"/>
        <v/>
      </c>
      <c r="BY30" s="115" t="str">
        <f t="shared" si="4"/>
        <v/>
      </c>
      <c r="BZ30" s="87" t="str">
        <f t="shared" si="5"/>
        <v/>
      </c>
      <c r="CA30" s="86" t="str">
        <f t="shared" si="6"/>
        <v/>
      </c>
      <c r="CB30" s="85"/>
    </row>
    <row r="31" spans="1:80" x14ac:dyDescent="0.25">
      <c r="A31" s="53" t="str">
        <v>29</v>
      </c>
      <c r="B31" s="54" t="str">
        <v/>
      </c>
      <c r="C31" s="55" t="str">
        <f>IFERROR(ROUND(ENGLISH!H33,0), "")</f>
        <v/>
      </c>
      <c r="D31" s="55" t="str">
        <f>IFERROR(ROUND(ENGLISH!J33,0), "")</f>
        <v/>
      </c>
      <c r="E31" s="56" t="str">
        <f t="shared" si="7"/>
        <v/>
      </c>
      <c r="F31" s="57" t="str" cm="1">
        <f t="array" ref="F31">IF(E31&lt;&gt;"", ToGrade(E31), "")</f>
        <v/>
      </c>
      <c r="G31" s="58" t="str">
        <f>ENGLISH!L33</f>
        <v/>
      </c>
      <c r="H31" s="59" t="str" cm="1">
        <f t="array" ref="H31">IF(E31&lt;&gt;"", ToRemark(E31), "")</f>
        <v/>
      </c>
      <c r="I31" s="60"/>
      <c r="J31" s="55" t="str">
        <f>IFERROR(ROUND(MATHS!H33,0), "")</f>
        <v/>
      </c>
      <c r="K31" s="55" t="str">
        <f>IFERROR(ROUND(MATHS!J33,0), "")</f>
        <v/>
      </c>
      <c r="L31" s="56" t="str">
        <f t="shared" si="8"/>
        <v/>
      </c>
      <c r="M31" s="57" t="str" cm="1">
        <f t="array" ref="M31">IF(L31&lt;&gt;"", ToGrade(L31), "")</f>
        <v/>
      </c>
      <c r="N31" s="58" t="str">
        <f>MATHS!L33</f>
        <v/>
      </c>
      <c r="O31" s="59" t="str" cm="1">
        <f t="array" ref="O31">IF(L31&lt;&gt;"", ToRemark(L31), "")</f>
        <v/>
      </c>
      <c r="P31" s="60"/>
      <c r="Q31" s="57" t="str">
        <f>IFERROR(ROUND(SCIENCE!H33,0), "")</f>
        <v/>
      </c>
      <c r="R31" s="57" t="str">
        <f>IFERROR(ROUND(SCIENCE!J33,0), "")</f>
        <v/>
      </c>
      <c r="S31" s="56" t="str">
        <f t="shared" si="9"/>
        <v/>
      </c>
      <c r="T31" s="57" t="str" cm="1">
        <f t="array" ref="T31">IF(S31&lt;&gt;"", ToGrade(S31), "")</f>
        <v/>
      </c>
      <c r="U31" s="58" t="str">
        <f>SCIENCE!L33</f>
        <v/>
      </c>
      <c r="V31" s="59" t="str" cm="1">
        <f t="array" ref="V31">IF(S31&lt;&gt;"", ToRemark(S31), "")</f>
        <v/>
      </c>
      <c r="W31" s="60"/>
      <c r="X31" s="57" t="str">
        <f>IFERROR(ROUND(OWOP!H33,0), "")</f>
        <v/>
      </c>
      <c r="Y31" s="57" t="str">
        <f>IFERROR(ROUND(OWOP!J33,0), "")</f>
        <v/>
      </c>
      <c r="Z31" s="56" t="str">
        <f t="shared" si="10"/>
        <v/>
      </c>
      <c r="AA31" s="57" t="str" cm="1">
        <f t="array" ref="AA31">IF(Z31&lt;&gt;"", ToGrade(Z31), "")</f>
        <v/>
      </c>
      <c r="AB31" s="58" t="str">
        <f>OWOP!L33</f>
        <v/>
      </c>
      <c r="AC31" s="59" t="str" cm="1">
        <f t="array" ref="AC31">IF(Z31&lt;&gt;"", ToRemark(Z31), "")</f>
        <v/>
      </c>
      <c r="AD31" s="60"/>
      <c r="AE31" s="57" t="str">
        <f>IFERROR(ROUND('C ARTS'!H33,0), "")</f>
        <v/>
      </c>
      <c r="AF31" s="57" t="str">
        <f>IFERROR(ROUND('C ARTS'!J33,0), "")</f>
        <v/>
      </c>
      <c r="AG31" s="56" t="str">
        <f t="shared" si="11"/>
        <v/>
      </c>
      <c r="AH31" s="57" t="str" cm="1">
        <f t="array" ref="AH31">IF(AG31&lt;&gt;"", ToGrade(AG31), "")</f>
        <v/>
      </c>
      <c r="AI31" s="58" t="str">
        <f>'C ARTS'!L33</f>
        <v/>
      </c>
      <c r="AJ31" s="59" t="str" cm="1">
        <f t="array" ref="AJ31">IF(AG31&lt;&gt;"", ToRemark(AG31), "")</f>
        <v/>
      </c>
      <c r="AK31" s="60"/>
      <c r="AL31" s="57" t="str">
        <f>IFERROR(ROUND('GH LANG'!H33,0), "")</f>
        <v/>
      </c>
      <c r="AM31" s="57" t="str">
        <f>IFERROR(ROUND('GH LANG'!J33,0), "")</f>
        <v/>
      </c>
      <c r="AN31" s="61" t="str">
        <f t="shared" si="12"/>
        <v/>
      </c>
      <c r="AO31" s="57" t="str" cm="1">
        <f t="array" ref="AO31">IF(AN31&lt;&gt;"", ToGrade(AN31), "")</f>
        <v/>
      </c>
      <c r="AP31" s="58" t="str">
        <f>'GH LANG'!L33</f>
        <v/>
      </c>
      <c r="AQ31" s="59" t="str" cm="1">
        <f t="array" ref="AQ31">IF(AN31&lt;&gt;"", ToRemark(AN31), "")</f>
        <v/>
      </c>
      <c r="AR31" s="60"/>
      <c r="AS31" s="57" t="str">
        <f>IFERROR(ROUND(COMPUTING!H33,0), "")</f>
        <v/>
      </c>
      <c r="AT31" s="57" t="str">
        <f>IFERROR(ROUND(COMPUTING!J33,0), "")</f>
        <v/>
      </c>
      <c r="AU31" s="56" t="str">
        <f t="shared" si="13"/>
        <v/>
      </c>
      <c r="AV31" s="57" t="str" cm="1">
        <f t="array" ref="AV31">IF(AU31&lt;&gt;"", ToGrade(AU31), "")</f>
        <v/>
      </c>
      <c r="AW31" s="58" t="str">
        <f>COMPUTING!L33</f>
        <v/>
      </c>
      <c r="AX31" s="59" t="str" cm="1">
        <f t="array" ref="AX31">IF(AU31&lt;&gt;"", ToRemark(AU31), "")</f>
        <v/>
      </c>
      <c r="AY31" s="62"/>
      <c r="AZ31" s="57" t="str">
        <f>IFERROR(ROUND(HISTERY!H33,0), "")</f>
        <v/>
      </c>
      <c r="BA31" s="57" t="str">
        <f>IFERROR(ROUND(HISTERY!J33,0), "")</f>
        <v/>
      </c>
      <c r="BB31" s="56" t="str">
        <f t="shared" si="14"/>
        <v/>
      </c>
      <c r="BC31" s="57" t="str" cm="1">
        <f t="array" ref="BC31">IF(BB31&lt;&gt;"", ToGrade(BB31), "")</f>
        <v/>
      </c>
      <c r="BD31" s="58" t="str">
        <f>HISTERY!L33</f>
        <v/>
      </c>
      <c r="BE31" s="59" t="str" cm="1">
        <f t="array" ref="BE31">IF(BB31&lt;&gt;"", ToRemark(BB31), "")</f>
        <v/>
      </c>
      <c r="BF31" s="60"/>
      <c r="BG31" s="57" t="str">
        <f>IFERROR(ROUND(RME!H33,0), "")</f>
        <v/>
      </c>
      <c r="BH31" s="57" t="str">
        <f>IFERROR(ROUND(RME!J33,0), "")</f>
        <v/>
      </c>
      <c r="BI31" s="56" t="str">
        <f t="shared" si="15"/>
        <v/>
      </c>
      <c r="BJ31" s="57" t="str" cm="1">
        <f t="array" ref="BJ31">IF(BI31&lt;&gt;"", ToGrade(BI31), "")</f>
        <v/>
      </c>
      <c r="BK31" s="58" t="str">
        <f>RME!L33</f>
        <v/>
      </c>
      <c r="BL31" s="59" t="str" cm="1">
        <f t="array" ref="BL31">IF(BI31&lt;&gt;"", ToRemark(BI31), "")</f>
        <v/>
      </c>
      <c r="BM31" s="74"/>
      <c r="BN31" s="97" t="str">
        <f t="shared" si="16"/>
        <v/>
      </c>
      <c r="BO31" s="106" t="str">
        <f t="shared" si="17"/>
        <v/>
      </c>
      <c r="BP31" s="98" t="str" cm="1">
        <f t="array" ref="BP31">IFERROR(OrdinalNumber(_xlfn.RANK.EQ(BN31,$BN$3:$BN$101)), "")</f>
        <v/>
      </c>
      <c r="BQ31" s="104"/>
      <c r="BR31" s="99"/>
      <c r="BS31" s="111"/>
      <c r="BT31" s="83" t="str" cm="1">
        <f t="array" ref="BT31">IF(LEN(B31)&lt;&gt;0, GetTeacherRemark(BO31), "")</f>
        <v/>
      </c>
      <c r="BU31" s="86" t="str">
        <f t="shared" si="0"/>
        <v/>
      </c>
      <c r="BV31" s="86" t="str">
        <f t="shared" si="1"/>
        <v/>
      </c>
      <c r="BW31" s="86" t="str">
        <f t="shared" si="2"/>
        <v/>
      </c>
      <c r="BX31" s="86" t="str">
        <f t="shared" si="3"/>
        <v/>
      </c>
      <c r="BY31" s="115" t="str">
        <f t="shared" si="4"/>
        <v/>
      </c>
      <c r="BZ31" s="87" t="str">
        <f t="shared" si="5"/>
        <v/>
      </c>
      <c r="CA31" s="86" t="str">
        <f t="shared" si="6"/>
        <v/>
      </c>
      <c r="CB31" s="85"/>
    </row>
    <row r="32" spans="1:80" x14ac:dyDescent="0.25">
      <c r="A32" s="53" t="str">
        <v>30</v>
      </c>
      <c r="B32" s="54" t="str">
        <v/>
      </c>
      <c r="C32" s="55" t="str">
        <f>IFERROR(ROUND(ENGLISH!H34,0), "")</f>
        <v/>
      </c>
      <c r="D32" s="55" t="str">
        <f>IFERROR(ROUND(ENGLISH!J34,0), "")</f>
        <v/>
      </c>
      <c r="E32" s="56" t="str">
        <f t="shared" si="7"/>
        <v/>
      </c>
      <c r="F32" s="57" t="str" cm="1">
        <f t="array" ref="F32">IF(E32&lt;&gt;"", ToGrade(E32), "")</f>
        <v/>
      </c>
      <c r="G32" s="58" t="str">
        <f>ENGLISH!L34</f>
        <v/>
      </c>
      <c r="H32" s="59" t="str" cm="1">
        <f t="array" ref="H32">IF(E32&lt;&gt;"", ToRemark(E32), "")</f>
        <v/>
      </c>
      <c r="I32" s="60"/>
      <c r="J32" s="55" t="str">
        <f>IFERROR(ROUND(MATHS!H34,0), "")</f>
        <v/>
      </c>
      <c r="K32" s="55" t="str">
        <f>IFERROR(ROUND(MATHS!J34,0), "")</f>
        <v/>
      </c>
      <c r="L32" s="56" t="str">
        <f t="shared" si="8"/>
        <v/>
      </c>
      <c r="M32" s="57" t="str" cm="1">
        <f t="array" ref="M32">IF(L32&lt;&gt;"", ToGrade(L32), "")</f>
        <v/>
      </c>
      <c r="N32" s="58" t="str">
        <f>MATHS!L34</f>
        <v/>
      </c>
      <c r="O32" s="59" t="str" cm="1">
        <f t="array" ref="O32">IF(L32&lt;&gt;"", ToRemark(L32), "")</f>
        <v/>
      </c>
      <c r="P32" s="60"/>
      <c r="Q32" s="57" t="str">
        <f>IFERROR(ROUND(SCIENCE!H34,0), "")</f>
        <v/>
      </c>
      <c r="R32" s="57" t="str">
        <f>IFERROR(ROUND(SCIENCE!J34,0), "")</f>
        <v/>
      </c>
      <c r="S32" s="56" t="str">
        <f t="shared" si="9"/>
        <v/>
      </c>
      <c r="T32" s="57" t="str" cm="1">
        <f t="array" ref="T32">IF(S32&lt;&gt;"", ToGrade(S32), "")</f>
        <v/>
      </c>
      <c r="U32" s="58" t="str">
        <f>SCIENCE!L34</f>
        <v/>
      </c>
      <c r="V32" s="59" t="str" cm="1">
        <f t="array" ref="V32">IF(S32&lt;&gt;"", ToRemark(S32), "")</f>
        <v/>
      </c>
      <c r="W32" s="60"/>
      <c r="X32" s="57" t="str">
        <f>IFERROR(ROUND(OWOP!H34,0), "")</f>
        <v/>
      </c>
      <c r="Y32" s="57" t="str">
        <f>IFERROR(ROUND(OWOP!J34,0), "")</f>
        <v/>
      </c>
      <c r="Z32" s="56" t="str">
        <f t="shared" si="10"/>
        <v/>
      </c>
      <c r="AA32" s="57" t="str" cm="1">
        <f t="array" ref="AA32">IF(Z32&lt;&gt;"", ToGrade(Z32), "")</f>
        <v/>
      </c>
      <c r="AB32" s="58" t="str">
        <f>OWOP!L34</f>
        <v/>
      </c>
      <c r="AC32" s="59" t="str" cm="1">
        <f t="array" ref="AC32">IF(Z32&lt;&gt;"", ToRemark(Z32), "")</f>
        <v/>
      </c>
      <c r="AD32" s="60"/>
      <c r="AE32" s="57" t="str">
        <f>IFERROR(ROUND('C ARTS'!H34,0), "")</f>
        <v/>
      </c>
      <c r="AF32" s="57" t="str">
        <f>IFERROR(ROUND('C ARTS'!J34,0), "")</f>
        <v/>
      </c>
      <c r="AG32" s="56" t="str">
        <f t="shared" si="11"/>
        <v/>
      </c>
      <c r="AH32" s="57" t="str" cm="1">
        <f t="array" ref="AH32">IF(AG32&lt;&gt;"", ToGrade(AG32), "")</f>
        <v/>
      </c>
      <c r="AI32" s="58" t="str">
        <f>'C ARTS'!L34</f>
        <v/>
      </c>
      <c r="AJ32" s="59" t="str" cm="1">
        <f t="array" ref="AJ32">IF(AG32&lt;&gt;"", ToRemark(AG32), "")</f>
        <v/>
      </c>
      <c r="AK32" s="60"/>
      <c r="AL32" s="57" t="str">
        <f>IFERROR(ROUND('GH LANG'!H34,0), "")</f>
        <v/>
      </c>
      <c r="AM32" s="57" t="str">
        <f>IFERROR(ROUND('GH LANG'!J34,0), "")</f>
        <v/>
      </c>
      <c r="AN32" s="61" t="str">
        <f t="shared" si="12"/>
        <v/>
      </c>
      <c r="AO32" s="57" t="str" cm="1">
        <f t="array" ref="AO32">IF(AN32&lt;&gt;"", ToGrade(AN32), "")</f>
        <v/>
      </c>
      <c r="AP32" s="58" t="str">
        <f>'GH LANG'!L34</f>
        <v/>
      </c>
      <c r="AQ32" s="59" t="str" cm="1">
        <f t="array" ref="AQ32">IF(AN32&lt;&gt;"", ToRemark(AN32), "")</f>
        <v/>
      </c>
      <c r="AR32" s="60"/>
      <c r="AS32" s="57" t="str">
        <f>IFERROR(ROUND(COMPUTING!H34,0), "")</f>
        <v/>
      </c>
      <c r="AT32" s="57" t="str">
        <f>IFERROR(ROUND(COMPUTING!J34,0), "")</f>
        <v/>
      </c>
      <c r="AU32" s="56" t="str">
        <f t="shared" si="13"/>
        <v/>
      </c>
      <c r="AV32" s="57" t="str" cm="1">
        <f t="array" ref="AV32">IF(AU32&lt;&gt;"", ToGrade(AU32), "")</f>
        <v/>
      </c>
      <c r="AW32" s="58" t="str">
        <f>COMPUTING!L34</f>
        <v/>
      </c>
      <c r="AX32" s="59" t="str" cm="1">
        <f t="array" ref="AX32">IF(AU32&lt;&gt;"", ToRemark(AU32), "")</f>
        <v/>
      </c>
      <c r="AY32" s="62"/>
      <c r="AZ32" s="57" t="str">
        <f>IFERROR(ROUND(HISTERY!H34,0), "")</f>
        <v/>
      </c>
      <c r="BA32" s="57" t="str">
        <f>IFERROR(ROUND(HISTERY!J34,0), "")</f>
        <v/>
      </c>
      <c r="BB32" s="56" t="str">
        <f t="shared" si="14"/>
        <v/>
      </c>
      <c r="BC32" s="57" t="str" cm="1">
        <f t="array" ref="BC32">IF(BB32&lt;&gt;"", ToGrade(BB32), "")</f>
        <v/>
      </c>
      <c r="BD32" s="58" t="str">
        <f>HISTERY!L34</f>
        <v/>
      </c>
      <c r="BE32" s="59" t="str" cm="1">
        <f t="array" ref="BE32">IF(BB32&lt;&gt;"", ToRemark(BB32), "")</f>
        <v/>
      </c>
      <c r="BF32" s="60"/>
      <c r="BG32" s="57" t="str">
        <f>IFERROR(ROUND(RME!H34,0), "")</f>
        <v/>
      </c>
      <c r="BH32" s="57" t="str">
        <f>IFERROR(ROUND(RME!J34,0), "")</f>
        <v/>
      </c>
      <c r="BI32" s="56" t="str">
        <f t="shared" si="15"/>
        <v/>
      </c>
      <c r="BJ32" s="57" t="str" cm="1">
        <f t="array" ref="BJ32">IF(BI32&lt;&gt;"", ToGrade(BI32), "")</f>
        <v/>
      </c>
      <c r="BK32" s="58" t="str">
        <f>RME!L34</f>
        <v/>
      </c>
      <c r="BL32" s="59" t="str" cm="1">
        <f t="array" ref="BL32">IF(BI32&lt;&gt;"", ToRemark(BI32), "")</f>
        <v/>
      </c>
      <c r="BM32" s="74"/>
      <c r="BN32" s="97" t="str">
        <f t="shared" si="16"/>
        <v/>
      </c>
      <c r="BO32" s="106" t="str">
        <f t="shared" si="17"/>
        <v/>
      </c>
      <c r="BP32" s="98" t="str" cm="1">
        <f t="array" ref="BP32">IFERROR(OrdinalNumber(_xlfn.RANK.EQ(BN32,$BN$3:$BN$101)), "")</f>
        <v/>
      </c>
      <c r="BQ32" s="104"/>
      <c r="BR32" s="99"/>
      <c r="BS32" s="111"/>
      <c r="BT32" s="83" t="str" cm="1">
        <f t="array" ref="BT32">IF(LEN(B32)&lt;&gt;0, GetTeacherRemark(BO32), "")</f>
        <v/>
      </c>
      <c r="BU32" s="86" t="str">
        <f t="shared" si="0"/>
        <v/>
      </c>
      <c r="BV32" s="86" t="str">
        <f t="shared" si="1"/>
        <v/>
      </c>
      <c r="BW32" s="86" t="str">
        <f t="shared" si="2"/>
        <v/>
      </c>
      <c r="BX32" s="86" t="str">
        <f t="shared" si="3"/>
        <v/>
      </c>
      <c r="BY32" s="115" t="str">
        <f t="shared" si="4"/>
        <v/>
      </c>
      <c r="BZ32" s="87" t="str">
        <f t="shared" si="5"/>
        <v/>
      </c>
      <c r="CA32" s="86" t="str">
        <f t="shared" si="6"/>
        <v/>
      </c>
      <c r="CB32" s="85"/>
    </row>
    <row r="33" spans="1:80" x14ac:dyDescent="0.25">
      <c r="A33" s="53" t="str">
        <v>31</v>
      </c>
      <c r="B33" s="54" t="str">
        <v/>
      </c>
      <c r="C33" s="55" t="str">
        <f>IFERROR(ROUND(ENGLISH!H35,0), "")</f>
        <v/>
      </c>
      <c r="D33" s="55" t="str">
        <f>IFERROR(ROUND(ENGLISH!J35,0), "")</f>
        <v/>
      </c>
      <c r="E33" s="56" t="str">
        <f t="shared" si="7"/>
        <v/>
      </c>
      <c r="F33" s="57" t="str" cm="1">
        <f t="array" ref="F33">IF(E33&lt;&gt;"", ToGrade(E33), "")</f>
        <v/>
      </c>
      <c r="G33" s="58" t="str">
        <f>ENGLISH!L35</f>
        <v/>
      </c>
      <c r="H33" s="59" t="str" cm="1">
        <f t="array" ref="H33">IF(E33&lt;&gt;"", ToRemark(E33), "")</f>
        <v/>
      </c>
      <c r="I33" s="60"/>
      <c r="J33" s="55" t="str">
        <f>IFERROR(ROUND(MATHS!H35,0), "")</f>
        <v/>
      </c>
      <c r="K33" s="55" t="str">
        <f>IFERROR(ROUND(MATHS!J35,0), "")</f>
        <v/>
      </c>
      <c r="L33" s="56" t="str">
        <f t="shared" si="8"/>
        <v/>
      </c>
      <c r="M33" s="57" t="str" cm="1">
        <f t="array" ref="M33">IF(L33&lt;&gt;"", ToGrade(L33), "")</f>
        <v/>
      </c>
      <c r="N33" s="58" t="str">
        <f>MATHS!L35</f>
        <v/>
      </c>
      <c r="O33" s="59" t="str" cm="1">
        <f t="array" ref="O33">IF(L33&lt;&gt;"", ToRemark(L33), "")</f>
        <v/>
      </c>
      <c r="P33" s="60"/>
      <c r="Q33" s="57" t="str">
        <f>IFERROR(ROUND(SCIENCE!H35,0), "")</f>
        <v/>
      </c>
      <c r="R33" s="57" t="str">
        <f>IFERROR(ROUND(SCIENCE!J35,0), "")</f>
        <v/>
      </c>
      <c r="S33" s="56" t="str">
        <f t="shared" si="9"/>
        <v/>
      </c>
      <c r="T33" s="57" t="str" cm="1">
        <f t="array" ref="T33">IF(S33&lt;&gt;"", ToGrade(S33), "")</f>
        <v/>
      </c>
      <c r="U33" s="58" t="str">
        <f>SCIENCE!L35</f>
        <v/>
      </c>
      <c r="V33" s="59" t="str" cm="1">
        <f t="array" ref="V33">IF(S33&lt;&gt;"", ToRemark(S33), "")</f>
        <v/>
      </c>
      <c r="W33" s="60"/>
      <c r="X33" s="57" t="str">
        <f>IFERROR(ROUND(OWOP!H35,0), "")</f>
        <v/>
      </c>
      <c r="Y33" s="57" t="str">
        <f>IFERROR(ROUND(OWOP!J35,0), "")</f>
        <v/>
      </c>
      <c r="Z33" s="56" t="str">
        <f t="shared" si="10"/>
        <v/>
      </c>
      <c r="AA33" s="57" t="str" cm="1">
        <f t="array" ref="AA33">IF(Z33&lt;&gt;"", ToGrade(Z33), "")</f>
        <v/>
      </c>
      <c r="AB33" s="58" t="str">
        <f>OWOP!L35</f>
        <v/>
      </c>
      <c r="AC33" s="59" t="str" cm="1">
        <f t="array" ref="AC33">IF(Z33&lt;&gt;"", ToRemark(Z33), "")</f>
        <v/>
      </c>
      <c r="AD33" s="60"/>
      <c r="AE33" s="57" t="str">
        <f>IFERROR(ROUND('C ARTS'!H35,0), "")</f>
        <v/>
      </c>
      <c r="AF33" s="57" t="str">
        <f>IFERROR(ROUND('C ARTS'!J35,0), "")</f>
        <v/>
      </c>
      <c r="AG33" s="56" t="str">
        <f t="shared" si="11"/>
        <v/>
      </c>
      <c r="AH33" s="57" t="str" cm="1">
        <f t="array" ref="AH33">IF(AG33&lt;&gt;"", ToGrade(AG33), "")</f>
        <v/>
      </c>
      <c r="AI33" s="58" t="str">
        <f>'C ARTS'!L35</f>
        <v/>
      </c>
      <c r="AJ33" s="59" t="str" cm="1">
        <f t="array" ref="AJ33">IF(AG33&lt;&gt;"", ToRemark(AG33), "")</f>
        <v/>
      </c>
      <c r="AK33" s="60"/>
      <c r="AL33" s="57" t="str">
        <f>IFERROR(ROUND('GH LANG'!H35,0), "")</f>
        <v/>
      </c>
      <c r="AM33" s="57" t="str">
        <f>IFERROR(ROUND('GH LANG'!J35,0), "")</f>
        <v/>
      </c>
      <c r="AN33" s="61" t="str">
        <f t="shared" si="12"/>
        <v/>
      </c>
      <c r="AO33" s="57" t="str" cm="1">
        <f t="array" ref="AO33">IF(AN33&lt;&gt;"", ToGrade(AN33), "")</f>
        <v/>
      </c>
      <c r="AP33" s="58" t="str">
        <f>'GH LANG'!L35</f>
        <v/>
      </c>
      <c r="AQ33" s="59" t="str" cm="1">
        <f t="array" ref="AQ33">IF(AN33&lt;&gt;"", ToRemark(AN33), "")</f>
        <v/>
      </c>
      <c r="AR33" s="60"/>
      <c r="AS33" s="57" t="str">
        <f>IFERROR(ROUND(COMPUTING!H35,0), "")</f>
        <v/>
      </c>
      <c r="AT33" s="57" t="str">
        <f>IFERROR(ROUND(COMPUTING!J35,0), "")</f>
        <v/>
      </c>
      <c r="AU33" s="56" t="str">
        <f t="shared" si="13"/>
        <v/>
      </c>
      <c r="AV33" s="57" t="str" cm="1">
        <f t="array" ref="AV33">IF(AU33&lt;&gt;"", ToGrade(AU33), "")</f>
        <v/>
      </c>
      <c r="AW33" s="58" t="str">
        <f>COMPUTING!L35</f>
        <v/>
      </c>
      <c r="AX33" s="59" t="str" cm="1">
        <f t="array" ref="AX33">IF(AU33&lt;&gt;"", ToRemark(AU33), "")</f>
        <v/>
      </c>
      <c r="AY33" s="62"/>
      <c r="AZ33" s="57" t="str">
        <f>IFERROR(ROUND(HISTERY!H35,0), "")</f>
        <v/>
      </c>
      <c r="BA33" s="57" t="str">
        <f>IFERROR(ROUND(HISTERY!J35,0), "")</f>
        <v/>
      </c>
      <c r="BB33" s="56" t="str">
        <f t="shared" si="14"/>
        <v/>
      </c>
      <c r="BC33" s="57" t="str" cm="1">
        <f t="array" ref="BC33">IF(BB33&lt;&gt;"", ToGrade(BB33), "")</f>
        <v/>
      </c>
      <c r="BD33" s="58" t="str">
        <f>HISTERY!L35</f>
        <v/>
      </c>
      <c r="BE33" s="59" t="str" cm="1">
        <f t="array" ref="BE33">IF(BB33&lt;&gt;"", ToRemark(BB33), "")</f>
        <v/>
      </c>
      <c r="BF33" s="60"/>
      <c r="BG33" s="57" t="str">
        <f>IFERROR(ROUND(RME!H35,0), "")</f>
        <v/>
      </c>
      <c r="BH33" s="57" t="str">
        <f>IFERROR(ROUND(RME!J35,0), "")</f>
        <v/>
      </c>
      <c r="BI33" s="56" t="str">
        <f t="shared" si="15"/>
        <v/>
      </c>
      <c r="BJ33" s="57" t="str" cm="1">
        <f t="array" ref="BJ33">IF(BI33&lt;&gt;"", ToGrade(BI33), "")</f>
        <v/>
      </c>
      <c r="BK33" s="58" t="str">
        <f>RME!L35</f>
        <v/>
      </c>
      <c r="BL33" s="59" t="str" cm="1">
        <f t="array" ref="BL33">IF(BI33&lt;&gt;"", ToRemark(BI33), "")</f>
        <v/>
      </c>
      <c r="BM33" s="74"/>
      <c r="BN33" s="97" t="str">
        <f t="shared" si="16"/>
        <v/>
      </c>
      <c r="BO33" s="106" t="str">
        <f t="shared" si="17"/>
        <v/>
      </c>
      <c r="BP33" s="98" t="str" cm="1">
        <f t="array" ref="BP33">IFERROR(OrdinalNumber(_xlfn.RANK.EQ(BN33,$BN$3:$BN$101)), "")</f>
        <v/>
      </c>
      <c r="BQ33" s="104"/>
      <c r="BR33" s="99"/>
      <c r="BS33" s="111"/>
      <c r="BT33" s="83" t="str" cm="1">
        <f t="array" ref="BT33">IF(LEN(B33)&lt;&gt;0, GetTeacherRemark(BO33), "")</f>
        <v/>
      </c>
      <c r="BU33" s="86" t="str">
        <f t="shared" si="0"/>
        <v/>
      </c>
      <c r="BV33" s="86" t="str">
        <f t="shared" si="1"/>
        <v/>
      </c>
      <c r="BW33" s="86" t="str">
        <f t="shared" si="2"/>
        <v/>
      </c>
      <c r="BX33" s="86" t="str">
        <f t="shared" si="3"/>
        <v/>
      </c>
      <c r="BY33" s="115" t="str">
        <f t="shared" si="4"/>
        <v/>
      </c>
      <c r="BZ33" s="87" t="str">
        <f t="shared" si="5"/>
        <v/>
      </c>
      <c r="CA33" s="86" t="str">
        <f t="shared" si="6"/>
        <v/>
      </c>
      <c r="CB33" s="85"/>
    </row>
    <row r="34" spans="1:80" x14ac:dyDescent="0.25">
      <c r="A34" s="53" t="str">
        <v>32</v>
      </c>
      <c r="B34" s="54" t="str">
        <v/>
      </c>
      <c r="C34" s="55" t="str">
        <f>IFERROR(ROUND(ENGLISH!H36,0), "")</f>
        <v/>
      </c>
      <c r="D34" s="55" t="str">
        <f>IFERROR(ROUND(ENGLISH!J36,0), "")</f>
        <v/>
      </c>
      <c r="E34" s="56" t="str">
        <f t="shared" si="7"/>
        <v/>
      </c>
      <c r="F34" s="57" t="str" cm="1">
        <f t="array" ref="F34">IF(E34&lt;&gt;"", ToGrade(E34), "")</f>
        <v/>
      </c>
      <c r="G34" s="58" t="str">
        <f>ENGLISH!L36</f>
        <v/>
      </c>
      <c r="H34" s="59" t="str" cm="1">
        <f t="array" ref="H34">IF(E34&lt;&gt;"", ToRemark(E34), "")</f>
        <v/>
      </c>
      <c r="I34" s="60"/>
      <c r="J34" s="55" t="str">
        <f>IFERROR(ROUND(MATHS!H36,0), "")</f>
        <v/>
      </c>
      <c r="K34" s="55" t="str">
        <f>IFERROR(ROUND(MATHS!J36,0), "")</f>
        <v/>
      </c>
      <c r="L34" s="56" t="str">
        <f t="shared" si="8"/>
        <v/>
      </c>
      <c r="M34" s="57" t="str" cm="1">
        <f t="array" ref="M34">IF(L34&lt;&gt;"", ToGrade(L34), "")</f>
        <v/>
      </c>
      <c r="N34" s="58" t="str">
        <f>MATHS!L36</f>
        <v/>
      </c>
      <c r="O34" s="59" t="str" cm="1">
        <f t="array" ref="O34">IF(L34&lt;&gt;"", ToRemark(L34), "")</f>
        <v/>
      </c>
      <c r="P34" s="60"/>
      <c r="Q34" s="57" t="str">
        <f>IFERROR(ROUND(SCIENCE!H36,0), "")</f>
        <v/>
      </c>
      <c r="R34" s="57" t="str">
        <f>IFERROR(ROUND(SCIENCE!J36,0), "")</f>
        <v/>
      </c>
      <c r="S34" s="56" t="str">
        <f t="shared" si="9"/>
        <v/>
      </c>
      <c r="T34" s="57" t="str" cm="1">
        <f t="array" ref="T34">IF(S34&lt;&gt;"", ToGrade(S34), "")</f>
        <v/>
      </c>
      <c r="U34" s="58" t="str">
        <f>SCIENCE!L36</f>
        <v/>
      </c>
      <c r="V34" s="59" t="str" cm="1">
        <f t="array" ref="V34">IF(S34&lt;&gt;"", ToRemark(S34), "")</f>
        <v/>
      </c>
      <c r="W34" s="60"/>
      <c r="X34" s="57" t="str">
        <f>IFERROR(ROUND(OWOP!H36,0), "")</f>
        <v/>
      </c>
      <c r="Y34" s="57" t="str">
        <f>IFERROR(ROUND(OWOP!J36,0), "")</f>
        <v/>
      </c>
      <c r="Z34" s="56" t="str">
        <f t="shared" si="10"/>
        <v/>
      </c>
      <c r="AA34" s="57" t="str" cm="1">
        <f t="array" ref="AA34">IF(Z34&lt;&gt;"", ToGrade(Z34), "")</f>
        <v/>
      </c>
      <c r="AB34" s="58" t="str">
        <f>OWOP!L36</f>
        <v/>
      </c>
      <c r="AC34" s="59" t="str" cm="1">
        <f t="array" ref="AC34">IF(Z34&lt;&gt;"", ToRemark(Z34), "")</f>
        <v/>
      </c>
      <c r="AD34" s="60"/>
      <c r="AE34" s="57" t="str">
        <f>IFERROR(ROUND('C ARTS'!H36,0), "")</f>
        <v/>
      </c>
      <c r="AF34" s="57" t="str">
        <f>IFERROR(ROUND('C ARTS'!J36,0), "")</f>
        <v/>
      </c>
      <c r="AG34" s="56" t="str">
        <f t="shared" si="11"/>
        <v/>
      </c>
      <c r="AH34" s="57" t="str" cm="1">
        <f t="array" ref="AH34">IF(AG34&lt;&gt;"", ToGrade(AG34), "")</f>
        <v/>
      </c>
      <c r="AI34" s="58" t="str">
        <f>'C ARTS'!L36</f>
        <v/>
      </c>
      <c r="AJ34" s="59" t="str" cm="1">
        <f t="array" ref="AJ34">IF(AG34&lt;&gt;"", ToRemark(AG34), "")</f>
        <v/>
      </c>
      <c r="AK34" s="60"/>
      <c r="AL34" s="57" t="str">
        <f>IFERROR(ROUND('GH LANG'!H36,0), "")</f>
        <v/>
      </c>
      <c r="AM34" s="57" t="str">
        <f>IFERROR(ROUND('GH LANG'!J36,0), "")</f>
        <v/>
      </c>
      <c r="AN34" s="61" t="str">
        <f t="shared" si="12"/>
        <v/>
      </c>
      <c r="AO34" s="57" t="str" cm="1">
        <f t="array" ref="AO34">IF(AN34&lt;&gt;"", ToGrade(AN34), "")</f>
        <v/>
      </c>
      <c r="AP34" s="58" t="str">
        <f>'GH LANG'!L36</f>
        <v/>
      </c>
      <c r="AQ34" s="59" t="str" cm="1">
        <f t="array" ref="AQ34">IF(AN34&lt;&gt;"", ToRemark(AN34), "")</f>
        <v/>
      </c>
      <c r="AR34" s="60"/>
      <c r="AS34" s="57" t="str">
        <f>IFERROR(ROUND(COMPUTING!H36,0), "")</f>
        <v/>
      </c>
      <c r="AT34" s="57" t="str">
        <f>IFERROR(ROUND(COMPUTING!J36,0), "")</f>
        <v/>
      </c>
      <c r="AU34" s="56" t="str">
        <f t="shared" si="13"/>
        <v/>
      </c>
      <c r="AV34" s="57" t="str" cm="1">
        <f t="array" ref="AV34">IF(AU34&lt;&gt;"", ToGrade(AU34), "")</f>
        <v/>
      </c>
      <c r="AW34" s="58" t="str">
        <f>COMPUTING!L36</f>
        <v/>
      </c>
      <c r="AX34" s="59" t="str" cm="1">
        <f t="array" ref="AX34">IF(AU34&lt;&gt;"", ToRemark(AU34), "")</f>
        <v/>
      </c>
      <c r="AY34" s="62"/>
      <c r="AZ34" s="57" t="str">
        <f>IFERROR(ROUND(HISTERY!H36,0), "")</f>
        <v/>
      </c>
      <c r="BA34" s="57" t="str">
        <f>IFERROR(ROUND(HISTERY!J36,0), "")</f>
        <v/>
      </c>
      <c r="BB34" s="56" t="str">
        <f t="shared" si="14"/>
        <v/>
      </c>
      <c r="BC34" s="57" t="str" cm="1">
        <f t="array" ref="BC34">IF(BB34&lt;&gt;"", ToGrade(BB34), "")</f>
        <v/>
      </c>
      <c r="BD34" s="58" t="str">
        <f>HISTERY!L36</f>
        <v/>
      </c>
      <c r="BE34" s="59" t="str" cm="1">
        <f t="array" ref="BE34">IF(BB34&lt;&gt;"", ToRemark(BB34), "")</f>
        <v/>
      </c>
      <c r="BF34" s="60"/>
      <c r="BG34" s="57" t="str">
        <f>IFERROR(ROUND(RME!H36,0), "")</f>
        <v/>
      </c>
      <c r="BH34" s="57" t="str">
        <f>IFERROR(ROUND(RME!J36,0), "")</f>
        <v/>
      </c>
      <c r="BI34" s="56" t="str">
        <f t="shared" si="15"/>
        <v/>
      </c>
      <c r="BJ34" s="57" t="str" cm="1">
        <f t="array" ref="BJ34">IF(BI34&lt;&gt;"", ToGrade(BI34), "")</f>
        <v/>
      </c>
      <c r="BK34" s="58" t="str">
        <f>RME!L36</f>
        <v/>
      </c>
      <c r="BL34" s="59" t="str" cm="1">
        <f t="array" ref="BL34">IF(BI34&lt;&gt;"", ToRemark(BI34), "")</f>
        <v/>
      </c>
      <c r="BM34" s="74"/>
      <c r="BN34" s="97" t="str">
        <f t="shared" si="16"/>
        <v/>
      </c>
      <c r="BO34" s="106" t="str">
        <f t="shared" si="17"/>
        <v/>
      </c>
      <c r="BP34" s="98" t="str" cm="1">
        <f t="array" ref="BP34">IFERROR(OrdinalNumber(_xlfn.RANK.EQ(BN34,$BN$3:$BN$101)), "")</f>
        <v/>
      </c>
      <c r="BQ34" s="104"/>
      <c r="BR34" s="99"/>
      <c r="BS34" s="111"/>
      <c r="BT34" s="83" t="str" cm="1">
        <f t="array" ref="BT34">IF(LEN(B34)&lt;&gt;0, GetTeacherRemark(BO34), "")</f>
        <v/>
      </c>
      <c r="BU34" s="86" t="str">
        <f t="shared" si="0"/>
        <v/>
      </c>
      <c r="BV34" s="86" t="str">
        <f t="shared" si="1"/>
        <v/>
      </c>
      <c r="BW34" s="86" t="str">
        <f t="shared" si="2"/>
        <v/>
      </c>
      <c r="BX34" s="86" t="str">
        <f t="shared" si="3"/>
        <v/>
      </c>
      <c r="BY34" s="115" t="str">
        <f t="shared" si="4"/>
        <v/>
      </c>
      <c r="BZ34" s="87" t="str">
        <f t="shared" si="5"/>
        <v/>
      </c>
      <c r="CA34" s="86" t="str">
        <f t="shared" si="6"/>
        <v/>
      </c>
      <c r="CB34" s="85"/>
    </row>
    <row r="35" spans="1:80" x14ac:dyDescent="0.25">
      <c r="A35" s="53" t="str">
        <v>33</v>
      </c>
      <c r="B35" s="54" t="str">
        <v/>
      </c>
      <c r="C35" s="55" t="str">
        <f>IFERROR(ROUND(ENGLISH!H37,0), "")</f>
        <v/>
      </c>
      <c r="D35" s="55" t="str">
        <f>IFERROR(ROUND(ENGLISH!J37,0), "")</f>
        <v/>
      </c>
      <c r="E35" s="56" t="str">
        <f t="shared" si="7"/>
        <v/>
      </c>
      <c r="F35" s="57" t="str" cm="1">
        <f t="array" ref="F35">IF(E35&lt;&gt;"", ToGrade(E35), "")</f>
        <v/>
      </c>
      <c r="G35" s="58" t="str">
        <f>ENGLISH!L37</f>
        <v/>
      </c>
      <c r="H35" s="59" t="str" cm="1">
        <f t="array" ref="H35">IF(E35&lt;&gt;"", ToRemark(E35), "")</f>
        <v/>
      </c>
      <c r="I35" s="60"/>
      <c r="J35" s="55" t="str">
        <f>IFERROR(ROUND(MATHS!H37,0), "")</f>
        <v/>
      </c>
      <c r="K35" s="55" t="str">
        <f>IFERROR(ROUND(MATHS!J37,0), "")</f>
        <v/>
      </c>
      <c r="L35" s="56" t="str">
        <f t="shared" si="8"/>
        <v/>
      </c>
      <c r="M35" s="57" t="str" cm="1">
        <f t="array" ref="M35">IF(L35&lt;&gt;"", ToGrade(L35), "")</f>
        <v/>
      </c>
      <c r="N35" s="58" t="str">
        <f>MATHS!L37</f>
        <v/>
      </c>
      <c r="O35" s="59" t="str" cm="1">
        <f t="array" ref="O35">IF(L35&lt;&gt;"", ToRemark(L35), "")</f>
        <v/>
      </c>
      <c r="P35" s="60"/>
      <c r="Q35" s="57" t="str">
        <f>IFERROR(ROUND(SCIENCE!H37,0), "")</f>
        <v/>
      </c>
      <c r="R35" s="57" t="str">
        <f>IFERROR(ROUND(SCIENCE!J37,0), "")</f>
        <v/>
      </c>
      <c r="S35" s="56" t="str">
        <f t="shared" si="9"/>
        <v/>
      </c>
      <c r="T35" s="57" t="str" cm="1">
        <f t="array" ref="T35">IF(S35&lt;&gt;"", ToGrade(S35), "")</f>
        <v/>
      </c>
      <c r="U35" s="58" t="str">
        <f>SCIENCE!L37</f>
        <v/>
      </c>
      <c r="V35" s="59" t="str" cm="1">
        <f t="array" ref="V35">IF(S35&lt;&gt;"", ToRemark(S35), "")</f>
        <v/>
      </c>
      <c r="W35" s="60"/>
      <c r="X35" s="57" t="str">
        <f>IFERROR(ROUND(OWOP!H37,0), "")</f>
        <v/>
      </c>
      <c r="Y35" s="57" t="str">
        <f>IFERROR(ROUND(OWOP!J37,0), "")</f>
        <v/>
      </c>
      <c r="Z35" s="56" t="str">
        <f t="shared" si="10"/>
        <v/>
      </c>
      <c r="AA35" s="57" t="str" cm="1">
        <f t="array" ref="AA35">IF(Z35&lt;&gt;"", ToGrade(Z35), "")</f>
        <v/>
      </c>
      <c r="AB35" s="58" t="str">
        <f>OWOP!L37</f>
        <v/>
      </c>
      <c r="AC35" s="59" t="str" cm="1">
        <f t="array" ref="AC35">IF(Z35&lt;&gt;"", ToRemark(Z35), "")</f>
        <v/>
      </c>
      <c r="AD35" s="60"/>
      <c r="AE35" s="57" t="str">
        <f>IFERROR(ROUND('C ARTS'!H37,0), "")</f>
        <v/>
      </c>
      <c r="AF35" s="57" t="str">
        <f>IFERROR(ROUND('C ARTS'!J37,0), "")</f>
        <v/>
      </c>
      <c r="AG35" s="56" t="str">
        <f t="shared" si="11"/>
        <v/>
      </c>
      <c r="AH35" s="57" t="str" cm="1">
        <f t="array" ref="AH35">IF(AG35&lt;&gt;"", ToGrade(AG35), "")</f>
        <v/>
      </c>
      <c r="AI35" s="58" t="str">
        <f>'C ARTS'!L37</f>
        <v/>
      </c>
      <c r="AJ35" s="59" t="str" cm="1">
        <f t="array" ref="AJ35">IF(AG35&lt;&gt;"", ToRemark(AG35), "")</f>
        <v/>
      </c>
      <c r="AK35" s="60"/>
      <c r="AL35" s="57" t="str">
        <f>IFERROR(ROUND('GH LANG'!H37,0), "")</f>
        <v/>
      </c>
      <c r="AM35" s="57" t="str">
        <f>IFERROR(ROUND('GH LANG'!J37,0), "")</f>
        <v/>
      </c>
      <c r="AN35" s="61" t="str">
        <f t="shared" si="12"/>
        <v/>
      </c>
      <c r="AO35" s="57" t="str" cm="1">
        <f t="array" ref="AO35">IF(AN35&lt;&gt;"", ToGrade(AN35), "")</f>
        <v/>
      </c>
      <c r="AP35" s="58" t="str">
        <f>'GH LANG'!L37</f>
        <v/>
      </c>
      <c r="AQ35" s="59" t="str" cm="1">
        <f t="array" ref="AQ35">IF(AN35&lt;&gt;"", ToRemark(AN35), "")</f>
        <v/>
      </c>
      <c r="AR35" s="60"/>
      <c r="AS35" s="57" t="str">
        <f>IFERROR(ROUND(COMPUTING!H37,0), "")</f>
        <v/>
      </c>
      <c r="AT35" s="57" t="str">
        <f>IFERROR(ROUND(COMPUTING!J37,0), "")</f>
        <v/>
      </c>
      <c r="AU35" s="56" t="str">
        <f t="shared" si="13"/>
        <v/>
      </c>
      <c r="AV35" s="57" t="str" cm="1">
        <f t="array" ref="AV35">IF(AU35&lt;&gt;"", ToGrade(AU35), "")</f>
        <v/>
      </c>
      <c r="AW35" s="58" t="str">
        <f>COMPUTING!L37</f>
        <v/>
      </c>
      <c r="AX35" s="59" t="str" cm="1">
        <f t="array" ref="AX35">IF(AU35&lt;&gt;"", ToRemark(AU35), "")</f>
        <v/>
      </c>
      <c r="AY35" s="62"/>
      <c r="AZ35" s="57" t="str">
        <f>IFERROR(ROUND(HISTERY!H37,0), "")</f>
        <v/>
      </c>
      <c r="BA35" s="57" t="str">
        <f>IFERROR(ROUND(HISTERY!J37,0), "")</f>
        <v/>
      </c>
      <c r="BB35" s="56" t="str">
        <f t="shared" si="14"/>
        <v/>
      </c>
      <c r="BC35" s="57" t="str" cm="1">
        <f t="array" ref="BC35">IF(BB35&lt;&gt;"", ToGrade(BB35), "")</f>
        <v/>
      </c>
      <c r="BD35" s="58" t="str">
        <f>HISTERY!L37</f>
        <v/>
      </c>
      <c r="BE35" s="59" t="str" cm="1">
        <f t="array" ref="BE35">IF(BB35&lt;&gt;"", ToRemark(BB35), "")</f>
        <v/>
      </c>
      <c r="BF35" s="60"/>
      <c r="BG35" s="57" t="str">
        <f>IFERROR(ROUND(RME!H37,0), "")</f>
        <v/>
      </c>
      <c r="BH35" s="57" t="str">
        <f>IFERROR(ROUND(RME!J37,0), "")</f>
        <v/>
      </c>
      <c r="BI35" s="56" t="str">
        <f t="shared" si="15"/>
        <v/>
      </c>
      <c r="BJ35" s="57" t="str" cm="1">
        <f t="array" ref="BJ35">IF(BI35&lt;&gt;"", ToGrade(BI35), "")</f>
        <v/>
      </c>
      <c r="BK35" s="58" t="str">
        <f>RME!L37</f>
        <v/>
      </c>
      <c r="BL35" s="59" t="str" cm="1">
        <f t="array" ref="BL35">IF(BI35&lt;&gt;"", ToRemark(BI35), "")</f>
        <v/>
      </c>
      <c r="BM35" s="74"/>
      <c r="BN35" s="97" t="str">
        <f t="shared" si="16"/>
        <v/>
      </c>
      <c r="BO35" s="106" t="str">
        <f t="shared" si="17"/>
        <v/>
      </c>
      <c r="BP35" s="98" t="str" cm="1">
        <f t="array" ref="BP35">IFERROR(OrdinalNumber(_xlfn.RANK.EQ(BN35,$BN$3:$BN$101)), "")</f>
        <v/>
      </c>
      <c r="BQ35" s="104"/>
      <c r="BR35" s="99"/>
      <c r="BS35" s="111"/>
      <c r="BT35" s="83" t="str" cm="1">
        <f t="array" ref="BT35">IF(LEN(B35)&lt;&gt;0, GetTeacherRemark(BO35), "")</f>
        <v/>
      </c>
      <c r="BU35" s="86" t="str">
        <f t="shared" ref="BU35:BU66" si="18">IF(B35&lt;&gt;"", selected_school, "")</f>
        <v/>
      </c>
      <c r="BV35" s="86" t="str">
        <f t="shared" ref="BV35:BV66" si="19">IF(B35&lt;&gt;"",class, "")</f>
        <v/>
      </c>
      <c r="BW35" s="86" t="str">
        <f t="shared" ref="BW35:BW66" si="20">IF(B35&lt;&gt;"",class_size,"")</f>
        <v/>
      </c>
      <c r="BX35" s="86" t="str">
        <f t="shared" ref="BX35:BX67" si="21">IF(B35&lt;&gt;"", term, "")</f>
        <v/>
      </c>
      <c r="BY35" s="115" t="str">
        <f t="shared" ref="BY35:BY66" si="22">IF(B35&lt;&gt;"",TEXT(reopen_date, "dd mmmm, yyyy"), "")</f>
        <v/>
      </c>
      <c r="BZ35" s="87" t="str">
        <f t="shared" ref="BZ35:BZ66" si="23">IF(B35&lt;&gt;"",TEXT(vacation_date, "dd mmmm, yyyy"), "")</f>
        <v/>
      </c>
      <c r="CA35" s="86" t="str">
        <f t="shared" ref="CA35:CA66" si="24">IF(B35&lt;&gt;"", total_attendance, "")</f>
        <v/>
      </c>
      <c r="CB35" s="85"/>
    </row>
    <row r="36" spans="1:80" x14ac:dyDescent="0.25">
      <c r="A36" s="53" t="str">
        <v>34</v>
      </c>
      <c r="B36" s="54" t="str">
        <v/>
      </c>
      <c r="C36" s="55" t="str">
        <f>IFERROR(ROUND(ENGLISH!H38,0), "")</f>
        <v/>
      </c>
      <c r="D36" s="55" t="str">
        <f>IFERROR(ROUND(ENGLISH!J38,0), "")</f>
        <v/>
      </c>
      <c r="E36" s="56" t="str">
        <f t="shared" si="7"/>
        <v/>
      </c>
      <c r="F36" s="57" t="str" cm="1">
        <f t="array" ref="F36">IF(E36&lt;&gt;"", ToGrade(E36), "")</f>
        <v/>
      </c>
      <c r="G36" s="58" t="str">
        <f>ENGLISH!L38</f>
        <v/>
      </c>
      <c r="H36" s="59" t="str" cm="1">
        <f t="array" ref="H36">IF(E36&lt;&gt;"", ToRemark(E36), "")</f>
        <v/>
      </c>
      <c r="I36" s="60"/>
      <c r="J36" s="55" t="str">
        <f>IFERROR(ROUND(MATHS!H38,0), "")</f>
        <v/>
      </c>
      <c r="K36" s="55" t="str">
        <f>IFERROR(ROUND(MATHS!J38,0), "")</f>
        <v/>
      </c>
      <c r="L36" s="56" t="str">
        <f t="shared" si="8"/>
        <v/>
      </c>
      <c r="M36" s="57" t="str" cm="1">
        <f t="array" ref="M36">IF(L36&lt;&gt;"", ToGrade(L36), "")</f>
        <v/>
      </c>
      <c r="N36" s="58" t="str">
        <f>MATHS!L38</f>
        <v/>
      </c>
      <c r="O36" s="59" t="str" cm="1">
        <f t="array" ref="O36">IF(L36&lt;&gt;"", ToRemark(L36), "")</f>
        <v/>
      </c>
      <c r="P36" s="60"/>
      <c r="Q36" s="57" t="str">
        <f>IFERROR(ROUND(SCIENCE!H38,0), "")</f>
        <v/>
      </c>
      <c r="R36" s="57" t="str">
        <f>IFERROR(ROUND(SCIENCE!J38,0), "")</f>
        <v/>
      </c>
      <c r="S36" s="56" t="str">
        <f t="shared" si="9"/>
        <v/>
      </c>
      <c r="T36" s="57" t="str" cm="1">
        <f t="array" ref="T36">IF(S36&lt;&gt;"", ToGrade(S36), "")</f>
        <v/>
      </c>
      <c r="U36" s="58" t="str">
        <f>SCIENCE!L38</f>
        <v/>
      </c>
      <c r="V36" s="59" t="str" cm="1">
        <f t="array" ref="V36">IF(S36&lt;&gt;"", ToRemark(S36), "")</f>
        <v/>
      </c>
      <c r="W36" s="60"/>
      <c r="X36" s="57" t="str">
        <f>IFERROR(ROUND(OWOP!H38,0), "")</f>
        <v/>
      </c>
      <c r="Y36" s="57" t="str">
        <f>IFERROR(ROUND(OWOP!J38,0), "")</f>
        <v/>
      </c>
      <c r="Z36" s="56" t="str">
        <f t="shared" si="10"/>
        <v/>
      </c>
      <c r="AA36" s="57" t="str" cm="1">
        <f t="array" ref="AA36">IF(Z36&lt;&gt;"", ToGrade(Z36), "")</f>
        <v/>
      </c>
      <c r="AB36" s="58" t="str">
        <f>OWOP!L38</f>
        <v/>
      </c>
      <c r="AC36" s="59" t="str" cm="1">
        <f t="array" ref="AC36">IF(Z36&lt;&gt;"", ToRemark(Z36), "")</f>
        <v/>
      </c>
      <c r="AD36" s="60"/>
      <c r="AE36" s="57" t="str">
        <f>IFERROR(ROUND('C ARTS'!H38,0), "")</f>
        <v/>
      </c>
      <c r="AF36" s="57" t="str">
        <f>IFERROR(ROUND('C ARTS'!J38,0), "")</f>
        <v/>
      </c>
      <c r="AG36" s="56" t="str">
        <f t="shared" si="11"/>
        <v/>
      </c>
      <c r="AH36" s="57" t="str" cm="1">
        <f t="array" ref="AH36">IF(AG36&lt;&gt;"", ToGrade(AG36), "")</f>
        <v/>
      </c>
      <c r="AI36" s="58" t="str">
        <f>'C ARTS'!L38</f>
        <v/>
      </c>
      <c r="AJ36" s="59" t="str" cm="1">
        <f t="array" ref="AJ36">IF(AG36&lt;&gt;"", ToRemark(AG36), "")</f>
        <v/>
      </c>
      <c r="AK36" s="60"/>
      <c r="AL36" s="57" t="str">
        <f>IFERROR(ROUND('GH LANG'!H38,0), "")</f>
        <v/>
      </c>
      <c r="AM36" s="57" t="str">
        <f>IFERROR(ROUND('GH LANG'!J38,0), "")</f>
        <v/>
      </c>
      <c r="AN36" s="61" t="str">
        <f t="shared" si="12"/>
        <v/>
      </c>
      <c r="AO36" s="57" t="str" cm="1">
        <f t="array" ref="AO36">IF(AN36&lt;&gt;"", ToGrade(AN36), "")</f>
        <v/>
      </c>
      <c r="AP36" s="58" t="str">
        <f>'GH LANG'!L38</f>
        <v/>
      </c>
      <c r="AQ36" s="59" t="str" cm="1">
        <f t="array" ref="AQ36">IF(AN36&lt;&gt;"", ToRemark(AN36), "")</f>
        <v/>
      </c>
      <c r="AR36" s="60"/>
      <c r="AS36" s="57" t="str">
        <f>IFERROR(ROUND(COMPUTING!H38,0), "")</f>
        <v/>
      </c>
      <c r="AT36" s="57" t="str">
        <f>IFERROR(ROUND(COMPUTING!J38,0), "")</f>
        <v/>
      </c>
      <c r="AU36" s="56" t="str">
        <f t="shared" si="13"/>
        <v/>
      </c>
      <c r="AV36" s="57" t="str" cm="1">
        <f t="array" ref="AV36">IF(AU36&lt;&gt;"", ToGrade(AU36), "")</f>
        <v/>
      </c>
      <c r="AW36" s="58" t="str">
        <f>COMPUTING!L38</f>
        <v/>
      </c>
      <c r="AX36" s="59" t="str" cm="1">
        <f t="array" ref="AX36">IF(AU36&lt;&gt;"", ToRemark(AU36), "")</f>
        <v/>
      </c>
      <c r="AY36" s="62"/>
      <c r="AZ36" s="57" t="str">
        <f>IFERROR(ROUND(HISTERY!H38,0), "")</f>
        <v/>
      </c>
      <c r="BA36" s="57" t="str">
        <f>IFERROR(ROUND(HISTERY!J38,0), "")</f>
        <v/>
      </c>
      <c r="BB36" s="56" t="str">
        <f t="shared" si="14"/>
        <v/>
      </c>
      <c r="BC36" s="57" t="str" cm="1">
        <f t="array" ref="BC36">IF(BB36&lt;&gt;"", ToGrade(BB36), "")</f>
        <v/>
      </c>
      <c r="BD36" s="58" t="str">
        <f>HISTERY!L38</f>
        <v/>
      </c>
      <c r="BE36" s="59" t="str" cm="1">
        <f t="array" ref="BE36">IF(BB36&lt;&gt;"", ToRemark(BB36), "")</f>
        <v/>
      </c>
      <c r="BF36" s="60"/>
      <c r="BG36" s="57" t="str">
        <f>IFERROR(ROUND(RME!H38,0), "")</f>
        <v/>
      </c>
      <c r="BH36" s="57" t="str">
        <f>IFERROR(ROUND(RME!J38,0), "")</f>
        <v/>
      </c>
      <c r="BI36" s="56" t="str">
        <f t="shared" si="15"/>
        <v/>
      </c>
      <c r="BJ36" s="57" t="str" cm="1">
        <f t="array" ref="BJ36">IF(BI36&lt;&gt;"", ToGrade(BI36), "")</f>
        <v/>
      </c>
      <c r="BK36" s="58" t="str">
        <f>RME!L38</f>
        <v/>
      </c>
      <c r="BL36" s="59" t="str" cm="1">
        <f t="array" ref="BL36">IF(BI36&lt;&gt;"", ToRemark(BI36), "")</f>
        <v/>
      </c>
      <c r="BM36" s="74"/>
      <c r="BN36" s="97" t="str">
        <f t="shared" si="16"/>
        <v/>
      </c>
      <c r="BO36" s="106" t="str">
        <f t="shared" si="17"/>
        <v/>
      </c>
      <c r="BP36" s="98" t="str" cm="1">
        <f t="array" ref="BP36">IFERROR(OrdinalNumber(_xlfn.RANK.EQ(BN36,$BN$3:$BN$101)), "")</f>
        <v/>
      </c>
      <c r="BQ36" s="104"/>
      <c r="BR36" s="99"/>
      <c r="BS36" s="111"/>
      <c r="BT36" s="83" t="str" cm="1">
        <f t="array" ref="BT36">IF(LEN(B36)&lt;&gt;0, GetTeacherRemark(BO36), "")</f>
        <v/>
      </c>
      <c r="BU36" s="86" t="str">
        <f t="shared" si="18"/>
        <v/>
      </c>
      <c r="BV36" s="86" t="str">
        <f t="shared" si="19"/>
        <v/>
      </c>
      <c r="BW36" s="86" t="str">
        <f t="shared" si="20"/>
        <v/>
      </c>
      <c r="BX36" s="86" t="str">
        <f t="shared" si="21"/>
        <v/>
      </c>
      <c r="BY36" s="115" t="str">
        <f t="shared" si="22"/>
        <v/>
      </c>
      <c r="BZ36" s="87" t="str">
        <f t="shared" si="23"/>
        <v/>
      </c>
      <c r="CA36" s="86" t="str">
        <f t="shared" si="24"/>
        <v/>
      </c>
      <c r="CB36" s="85"/>
    </row>
    <row r="37" spans="1:80" x14ac:dyDescent="0.25">
      <c r="A37" s="53" t="str">
        <v>35</v>
      </c>
      <c r="B37" s="54" t="str">
        <v/>
      </c>
      <c r="C37" s="55" t="str">
        <f>IFERROR(ROUND(ENGLISH!H39,0), "")</f>
        <v/>
      </c>
      <c r="D37" s="55" t="str">
        <f>IFERROR(ROUND(ENGLISH!J39,0), "")</f>
        <v/>
      </c>
      <c r="E37" s="56" t="str">
        <f t="shared" si="7"/>
        <v/>
      </c>
      <c r="F37" s="57" t="str" cm="1">
        <f t="array" ref="F37">IF(E37&lt;&gt;"", ToGrade(E37), "")</f>
        <v/>
      </c>
      <c r="G37" s="58" t="str">
        <f>ENGLISH!L39</f>
        <v/>
      </c>
      <c r="H37" s="59" t="str" cm="1">
        <f t="array" ref="H37">IF(E37&lt;&gt;"", ToRemark(E37), "")</f>
        <v/>
      </c>
      <c r="I37" s="60"/>
      <c r="J37" s="55" t="str">
        <f>IFERROR(ROUND(MATHS!H39,0), "")</f>
        <v/>
      </c>
      <c r="K37" s="55" t="str">
        <f>IFERROR(ROUND(MATHS!J39,0), "")</f>
        <v/>
      </c>
      <c r="L37" s="56" t="str">
        <f t="shared" si="8"/>
        <v/>
      </c>
      <c r="M37" s="57" t="str" cm="1">
        <f t="array" ref="M37">IF(L37&lt;&gt;"", ToGrade(L37), "")</f>
        <v/>
      </c>
      <c r="N37" s="58" t="str">
        <f>MATHS!L39</f>
        <v/>
      </c>
      <c r="O37" s="59" t="str" cm="1">
        <f t="array" ref="O37">IF(L37&lt;&gt;"", ToRemark(L37), "")</f>
        <v/>
      </c>
      <c r="P37" s="60"/>
      <c r="Q37" s="57" t="str">
        <f>IFERROR(ROUND(SCIENCE!H39,0), "")</f>
        <v/>
      </c>
      <c r="R37" s="57" t="str">
        <f>IFERROR(ROUND(SCIENCE!J39,0), "")</f>
        <v/>
      </c>
      <c r="S37" s="56" t="str">
        <f t="shared" si="9"/>
        <v/>
      </c>
      <c r="T37" s="57" t="str" cm="1">
        <f t="array" ref="T37">IF(S37&lt;&gt;"", ToGrade(S37), "")</f>
        <v/>
      </c>
      <c r="U37" s="58" t="str">
        <f>SCIENCE!L39</f>
        <v/>
      </c>
      <c r="V37" s="59" t="str" cm="1">
        <f t="array" ref="V37">IF(S37&lt;&gt;"", ToRemark(S37), "")</f>
        <v/>
      </c>
      <c r="W37" s="60"/>
      <c r="X37" s="57" t="str">
        <f>IFERROR(ROUND(OWOP!H39,0), "")</f>
        <v/>
      </c>
      <c r="Y37" s="57" t="str">
        <f>IFERROR(ROUND(OWOP!J39,0), "")</f>
        <v/>
      </c>
      <c r="Z37" s="56" t="str">
        <f t="shared" si="10"/>
        <v/>
      </c>
      <c r="AA37" s="57" t="str" cm="1">
        <f t="array" ref="AA37">IF(Z37&lt;&gt;"", ToGrade(Z37), "")</f>
        <v/>
      </c>
      <c r="AB37" s="58" t="str">
        <f>OWOP!L39</f>
        <v/>
      </c>
      <c r="AC37" s="59" t="str" cm="1">
        <f t="array" ref="AC37">IF(Z37&lt;&gt;"", ToRemark(Z37), "")</f>
        <v/>
      </c>
      <c r="AD37" s="60"/>
      <c r="AE37" s="57" t="str">
        <f>IFERROR(ROUND('C ARTS'!H39,0), "")</f>
        <v/>
      </c>
      <c r="AF37" s="57" t="str">
        <f>IFERROR(ROUND('C ARTS'!J39,0), "")</f>
        <v/>
      </c>
      <c r="AG37" s="56" t="str">
        <f t="shared" si="11"/>
        <v/>
      </c>
      <c r="AH37" s="57" t="str" cm="1">
        <f t="array" ref="AH37">IF(AG37&lt;&gt;"", ToGrade(AG37), "")</f>
        <v/>
      </c>
      <c r="AI37" s="58" t="str">
        <f>'C ARTS'!L39</f>
        <v/>
      </c>
      <c r="AJ37" s="59" t="str" cm="1">
        <f t="array" ref="AJ37">IF(AG37&lt;&gt;"", ToRemark(AG37), "")</f>
        <v/>
      </c>
      <c r="AK37" s="60"/>
      <c r="AL37" s="57" t="str">
        <f>IFERROR(ROUND('GH LANG'!H39,0), "")</f>
        <v/>
      </c>
      <c r="AM37" s="57" t="str">
        <f>IFERROR(ROUND('GH LANG'!J39,0), "")</f>
        <v/>
      </c>
      <c r="AN37" s="61" t="str">
        <f t="shared" si="12"/>
        <v/>
      </c>
      <c r="AO37" s="57" t="str" cm="1">
        <f t="array" ref="AO37">IF(AN37&lt;&gt;"", ToGrade(AN37), "")</f>
        <v/>
      </c>
      <c r="AP37" s="58" t="str">
        <f>'GH LANG'!L39</f>
        <v/>
      </c>
      <c r="AQ37" s="59" t="str" cm="1">
        <f t="array" ref="AQ37">IF(AN37&lt;&gt;"", ToRemark(AN37), "")</f>
        <v/>
      </c>
      <c r="AR37" s="60"/>
      <c r="AS37" s="57" t="str">
        <f>IFERROR(ROUND(COMPUTING!H39,0), "")</f>
        <v/>
      </c>
      <c r="AT37" s="57" t="str">
        <f>IFERROR(ROUND(COMPUTING!J39,0), "")</f>
        <v/>
      </c>
      <c r="AU37" s="56" t="str">
        <f t="shared" si="13"/>
        <v/>
      </c>
      <c r="AV37" s="57" t="str" cm="1">
        <f t="array" ref="AV37">IF(AU37&lt;&gt;"", ToGrade(AU37), "")</f>
        <v/>
      </c>
      <c r="AW37" s="58" t="str">
        <f>COMPUTING!L39</f>
        <v/>
      </c>
      <c r="AX37" s="59" t="str" cm="1">
        <f t="array" ref="AX37">IF(AU37&lt;&gt;"", ToRemark(AU37), "")</f>
        <v/>
      </c>
      <c r="AY37" s="62"/>
      <c r="AZ37" s="57" t="str">
        <f>IFERROR(ROUND(HISTERY!H39,0), "")</f>
        <v/>
      </c>
      <c r="BA37" s="57" t="str">
        <f>IFERROR(ROUND(HISTERY!J39,0), "")</f>
        <v/>
      </c>
      <c r="BB37" s="56" t="str">
        <f t="shared" si="14"/>
        <v/>
      </c>
      <c r="BC37" s="57" t="str" cm="1">
        <f t="array" ref="BC37">IF(BB37&lt;&gt;"", ToGrade(BB37), "")</f>
        <v/>
      </c>
      <c r="BD37" s="58" t="str">
        <f>HISTERY!L39</f>
        <v/>
      </c>
      <c r="BE37" s="59" t="str" cm="1">
        <f t="array" ref="BE37">IF(BB37&lt;&gt;"", ToRemark(BB37), "")</f>
        <v/>
      </c>
      <c r="BF37" s="60"/>
      <c r="BG37" s="57" t="str">
        <f>IFERROR(ROUND(RME!H39,0), "")</f>
        <v/>
      </c>
      <c r="BH37" s="57" t="str">
        <f>IFERROR(ROUND(RME!J39,0), "")</f>
        <v/>
      </c>
      <c r="BI37" s="56" t="str">
        <f t="shared" si="15"/>
        <v/>
      </c>
      <c r="BJ37" s="57" t="str" cm="1">
        <f t="array" ref="BJ37">IF(BI37&lt;&gt;"", ToGrade(BI37), "")</f>
        <v/>
      </c>
      <c r="BK37" s="58" t="str">
        <f>RME!L39</f>
        <v/>
      </c>
      <c r="BL37" s="59" t="str" cm="1">
        <f t="array" ref="BL37">IF(BI37&lt;&gt;"", ToRemark(BI37), "")</f>
        <v/>
      </c>
      <c r="BM37" s="74"/>
      <c r="BN37" s="97" t="str">
        <f t="shared" si="16"/>
        <v/>
      </c>
      <c r="BO37" s="106" t="str">
        <f t="shared" si="17"/>
        <v/>
      </c>
      <c r="BP37" s="98" t="str" cm="1">
        <f t="array" ref="BP37">IFERROR(OrdinalNumber(_xlfn.RANK.EQ(BN37,$BN$3:$BN$101)), "")</f>
        <v/>
      </c>
      <c r="BQ37" s="104"/>
      <c r="BR37" s="99"/>
      <c r="BS37" s="111"/>
      <c r="BT37" s="83" t="str" cm="1">
        <f t="array" ref="BT37">IF(LEN(B37)&lt;&gt;0, GetTeacherRemark(BO37), "")</f>
        <v/>
      </c>
      <c r="BU37" s="86" t="str">
        <f t="shared" si="18"/>
        <v/>
      </c>
      <c r="BV37" s="86" t="str">
        <f t="shared" si="19"/>
        <v/>
      </c>
      <c r="BW37" s="86" t="str">
        <f t="shared" si="20"/>
        <v/>
      </c>
      <c r="BX37" s="86" t="str">
        <f t="shared" si="21"/>
        <v/>
      </c>
      <c r="BY37" s="115" t="str">
        <f t="shared" si="22"/>
        <v/>
      </c>
      <c r="BZ37" s="87" t="str">
        <f t="shared" si="23"/>
        <v/>
      </c>
      <c r="CA37" s="86" t="str">
        <f t="shared" si="24"/>
        <v/>
      </c>
      <c r="CB37" s="85"/>
    </row>
    <row r="38" spans="1:80" x14ac:dyDescent="0.25">
      <c r="A38" s="53" t="str">
        <v>36</v>
      </c>
      <c r="B38" s="54" t="str">
        <v/>
      </c>
      <c r="C38" s="55" t="str">
        <f>IFERROR(ROUND(ENGLISH!H40,0), "")</f>
        <v/>
      </c>
      <c r="D38" s="55" t="str">
        <f>IFERROR(ROUND(ENGLISH!J40,0), "")</f>
        <v/>
      </c>
      <c r="E38" s="56" t="str">
        <f t="shared" si="7"/>
        <v/>
      </c>
      <c r="F38" s="57" t="str" cm="1">
        <f t="array" ref="F38">IF(E38&lt;&gt;"", ToGrade(E38), "")</f>
        <v/>
      </c>
      <c r="G38" s="58" t="str">
        <f>ENGLISH!L40</f>
        <v/>
      </c>
      <c r="H38" s="59" t="str" cm="1">
        <f t="array" ref="H38">IF(E38&lt;&gt;"", ToRemark(E38), "")</f>
        <v/>
      </c>
      <c r="I38" s="60"/>
      <c r="J38" s="55" t="str">
        <f>IFERROR(ROUND(MATHS!H40,0), "")</f>
        <v/>
      </c>
      <c r="K38" s="55" t="str">
        <f>IFERROR(ROUND(MATHS!J40,0), "")</f>
        <v/>
      </c>
      <c r="L38" s="56" t="str">
        <f t="shared" si="8"/>
        <v/>
      </c>
      <c r="M38" s="57" t="str" cm="1">
        <f t="array" ref="M38">IF(L38&lt;&gt;"", ToGrade(L38), "")</f>
        <v/>
      </c>
      <c r="N38" s="58" t="str">
        <f>MATHS!L40</f>
        <v/>
      </c>
      <c r="O38" s="59" t="str" cm="1">
        <f t="array" ref="O38">IF(L38&lt;&gt;"", ToRemark(L38), "")</f>
        <v/>
      </c>
      <c r="P38" s="60"/>
      <c r="Q38" s="57" t="str">
        <f>IFERROR(ROUND(SCIENCE!H40,0), "")</f>
        <v/>
      </c>
      <c r="R38" s="57" t="str">
        <f>IFERROR(ROUND(SCIENCE!J40,0), "")</f>
        <v/>
      </c>
      <c r="S38" s="56" t="str">
        <f t="shared" si="9"/>
        <v/>
      </c>
      <c r="T38" s="57" t="str" cm="1">
        <f t="array" ref="T38">IF(S38&lt;&gt;"", ToGrade(S38), "")</f>
        <v/>
      </c>
      <c r="U38" s="58" t="str">
        <f>SCIENCE!L40</f>
        <v/>
      </c>
      <c r="V38" s="59" t="str" cm="1">
        <f t="array" ref="V38">IF(S38&lt;&gt;"", ToRemark(S38), "")</f>
        <v/>
      </c>
      <c r="W38" s="60"/>
      <c r="X38" s="57" t="str">
        <f>IFERROR(ROUND(OWOP!H40,0), "")</f>
        <v/>
      </c>
      <c r="Y38" s="57" t="str">
        <f>IFERROR(ROUND(OWOP!J40,0), "")</f>
        <v/>
      </c>
      <c r="Z38" s="56" t="str">
        <f t="shared" si="10"/>
        <v/>
      </c>
      <c r="AA38" s="57" t="str" cm="1">
        <f t="array" ref="AA38">IF(Z38&lt;&gt;"", ToGrade(Z38), "")</f>
        <v/>
      </c>
      <c r="AB38" s="58" t="str">
        <f>OWOP!L40</f>
        <v/>
      </c>
      <c r="AC38" s="59" t="str" cm="1">
        <f t="array" ref="AC38">IF(Z38&lt;&gt;"", ToRemark(Z38), "")</f>
        <v/>
      </c>
      <c r="AD38" s="60"/>
      <c r="AE38" s="57" t="str">
        <f>IFERROR(ROUND('C ARTS'!H40,0), "")</f>
        <v/>
      </c>
      <c r="AF38" s="57" t="str">
        <f>IFERROR(ROUND('C ARTS'!J40,0), "")</f>
        <v/>
      </c>
      <c r="AG38" s="56" t="str">
        <f t="shared" si="11"/>
        <v/>
      </c>
      <c r="AH38" s="57" t="str" cm="1">
        <f t="array" ref="AH38">IF(AG38&lt;&gt;"", ToGrade(AG38), "")</f>
        <v/>
      </c>
      <c r="AI38" s="58" t="str">
        <f>'C ARTS'!L40</f>
        <v/>
      </c>
      <c r="AJ38" s="59" t="str" cm="1">
        <f t="array" ref="AJ38">IF(AG38&lt;&gt;"", ToRemark(AG38), "")</f>
        <v/>
      </c>
      <c r="AK38" s="60"/>
      <c r="AL38" s="57" t="str">
        <f>IFERROR(ROUND('GH LANG'!H40,0), "")</f>
        <v/>
      </c>
      <c r="AM38" s="57" t="str">
        <f>IFERROR(ROUND('GH LANG'!J40,0), "")</f>
        <v/>
      </c>
      <c r="AN38" s="61" t="str">
        <f t="shared" si="12"/>
        <v/>
      </c>
      <c r="AO38" s="57" t="str" cm="1">
        <f t="array" ref="AO38">IF(AN38&lt;&gt;"", ToGrade(AN38), "")</f>
        <v/>
      </c>
      <c r="AP38" s="58" t="str">
        <f>'GH LANG'!L40</f>
        <v/>
      </c>
      <c r="AQ38" s="59" t="str" cm="1">
        <f t="array" ref="AQ38">IF(AN38&lt;&gt;"", ToRemark(AN38), "")</f>
        <v/>
      </c>
      <c r="AR38" s="60"/>
      <c r="AS38" s="57" t="str">
        <f>IFERROR(ROUND(COMPUTING!H40,0), "")</f>
        <v/>
      </c>
      <c r="AT38" s="57" t="str">
        <f>IFERROR(ROUND(COMPUTING!J40,0), "")</f>
        <v/>
      </c>
      <c r="AU38" s="56" t="str">
        <f t="shared" si="13"/>
        <v/>
      </c>
      <c r="AV38" s="57" t="str" cm="1">
        <f t="array" ref="AV38">IF(AU38&lt;&gt;"", ToGrade(AU38), "")</f>
        <v/>
      </c>
      <c r="AW38" s="58" t="str">
        <f>COMPUTING!L40</f>
        <v/>
      </c>
      <c r="AX38" s="59" t="str" cm="1">
        <f t="array" ref="AX38">IF(AU38&lt;&gt;"", ToRemark(AU38), "")</f>
        <v/>
      </c>
      <c r="AY38" s="62"/>
      <c r="AZ38" s="57" t="str">
        <f>IFERROR(ROUND(HISTERY!H40,0), "")</f>
        <v/>
      </c>
      <c r="BA38" s="57" t="str">
        <f>IFERROR(ROUND(HISTERY!J40,0), "")</f>
        <v/>
      </c>
      <c r="BB38" s="56" t="str">
        <f t="shared" si="14"/>
        <v/>
      </c>
      <c r="BC38" s="57" t="str" cm="1">
        <f t="array" ref="BC38">IF(BB38&lt;&gt;"", ToGrade(BB38), "")</f>
        <v/>
      </c>
      <c r="BD38" s="58" t="str">
        <f>HISTERY!L40</f>
        <v/>
      </c>
      <c r="BE38" s="59" t="str" cm="1">
        <f t="array" ref="BE38">IF(BB38&lt;&gt;"", ToRemark(BB38), "")</f>
        <v/>
      </c>
      <c r="BF38" s="60"/>
      <c r="BG38" s="57" t="str">
        <f>IFERROR(ROUND(RME!H40,0), "")</f>
        <v/>
      </c>
      <c r="BH38" s="57" t="str">
        <f>IFERROR(ROUND(RME!J40,0), "")</f>
        <v/>
      </c>
      <c r="BI38" s="56" t="str">
        <f t="shared" si="15"/>
        <v/>
      </c>
      <c r="BJ38" s="57" t="str" cm="1">
        <f t="array" ref="BJ38">IF(BI38&lt;&gt;"", ToGrade(BI38), "")</f>
        <v/>
      </c>
      <c r="BK38" s="58" t="str">
        <f>RME!L40</f>
        <v/>
      </c>
      <c r="BL38" s="59" t="str" cm="1">
        <f t="array" ref="BL38">IF(BI38&lt;&gt;"", ToRemark(BI38), "")</f>
        <v/>
      </c>
      <c r="BM38" s="74"/>
      <c r="BN38" s="97" t="str">
        <f t="shared" si="16"/>
        <v/>
      </c>
      <c r="BO38" s="106" t="str">
        <f t="shared" si="17"/>
        <v/>
      </c>
      <c r="BP38" s="98" t="str" cm="1">
        <f t="array" ref="BP38">IFERROR(OrdinalNumber(_xlfn.RANK.EQ(BN38,$BN$3:$BN$101)), "")</f>
        <v/>
      </c>
      <c r="BQ38" s="104"/>
      <c r="BR38" s="99"/>
      <c r="BS38" s="111"/>
      <c r="BT38" s="83" t="str" cm="1">
        <f t="array" ref="BT38">IF(LEN(B38)&lt;&gt;0, GetTeacherRemark(BO38), "")</f>
        <v/>
      </c>
      <c r="BU38" s="86" t="str">
        <f t="shared" si="18"/>
        <v/>
      </c>
      <c r="BV38" s="86" t="str">
        <f t="shared" si="19"/>
        <v/>
      </c>
      <c r="BW38" s="86" t="str">
        <f t="shared" si="20"/>
        <v/>
      </c>
      <c r="BX38" s="86" t="str">
        <f t="shared" si="21"/>
        <v/>
      </c>
      <c r="BY38" s="115" t="str">
        <f t="shared" si="22"/>
        <v/>
      </c>
      <c r="BZ38" s="87" t="str">
        <f t="shared" si="23"/>
        <v/>
      </c>
      <c r="CA38" s="86" t="str">
        <f t="shared" si="24"/>
        <v/>
      </c>
      <c r="CB38" s="85"/>
    </row>
    <row r="39" spans="1:80" x14ac:dyDescent="0.25">
      <c r="A39" s="53" t="str">
        <v>37</v>
      </c>
      <c r="B39" s="54" t="str">
        <v/>
      </c>
      <c r="C39" s="55" t="str">
        <f>IFERROR(ROUND(ENGLISH!H41,0), "")</f>
        <v/>
      </c>
      <c r="D39" s="55" t="str">
        <f>IFERROR(ROUND(ENGLISH!J41,0), "")</f>
        <v/>
      </c>
      <c r="E39" s="56" t="str">
        <f t="shared" si="7"/>
        <v/>
      </c>
      <c r="F39" s="57" t="str" cm="1">
        <f t="array" ref="F39">IF(E39&lt;&gt;"", ToGrade(E39), "")</f>
        <v/>
      </c>
      <c r="G39" s="58" t="str">
        <f>ENGLISH!L41</f>
        <v/>
      </c>
      <c r="H39" s="59" t="str" cm="1">
        <f t="array" ref="H39">IF(E39&lt;&gt;"", ToRemark(E39), "")</f>
        <v/>
      </c>
      <c r="I39" s="60"/>
      <c r="J39" s="55" t="str">
        <f>IFERROR(ROUND(MATHS!H41,0), "")</f>
        <v/>
      </c>
      <c r="K39" s="55" t="str">
        <f>IFERROR(ROUND(MATHS!J41,0), "")</f>
        <v/>
      </c>
      <c r="L39" s="56" t="str">
        <f t="shared" si="8"/>
        <v/>
      </c>
      <c r="M39" s="57" t="str" cm="1">
        <f t="array" ref="M39">IF(L39&lt;&gt;"", ToGrade(L39), "")</f>
        <v/>
      </c>
      <c r="N39" s="58" t="str">
        <f>MATHS!L41</f>
        <v/>
      </c>
      <c r="O39" s="59" t="str" cm="1">
        <f t="array" ref="O39">IF(L39&lt;&gt;"", ToRemark(L39), "")</f>
        <v/>
      </c>
      <c r="P39" s="60"/>
      <c r="Q39" s="57" t="str">
        <f>IFERROR(ROUND(SCIENCE!H41,0), "")</f>
        <v/>
      </c>
      <c r="R39" s="57" t="str">
        <f>IFERROR(ROUND(SCIENCE!J41,0), "")</f>
        <v/>
      </c>
      <c r="S39" s="56" t="str">
        <f t="shared" si="9"/>
        <v/>
      </c>
      <c r="T39" s="57" t="str" cm="1">
        <f t="array" ref="T39">IF(S39&lt;&gt;"", ToGrade(S39), "")</f>
        <v/>
      </c>
      <c r="U39" s="58" t="str">
        <f>SCIENCE!L41</f>
        <v/>
      </c>
      <c r="V39" s="59" t="str" cm="1">
        <f t="array" ref="V39">IF(S39&lt;&gt;"", ToRemark(S39), "")</f>
        <v/>
      </c>
      <c r="W39" s="60"/>
      <c r="X39" s="57" t="str">
        <f>IFERROR(ROUND(OWOP!H41,0), "")</f>
        <v/>
      </c>
      <c r="Y39" s="57" t="str">
        <f>IFERROR(ROUND(OWOP!J41,0), "")</f>
        <v/>
      </c>
      <c r="Z39" s="56" t="str">
        <f t="shared" si="10"/>
        <v/>
      </c>
      <c r="AA39" s="57" t="str" cm="1">
        <f t="array" ref="AA39">IF(Z39&lt;&gt;"", ToGrade(Z39), "")</f>
        <v/>
      </c>
      <c r="AB39" s="58" t="str">
        <f>OWOP!L41</f>
        <v/>
      </c>
      <c r="AC39" s="59" t="str" cm="1">
        <f t="array" ref="AC39">IF(Z39&lt;&gt;"", ToRemark(Z39), "")</f>
        <v/>
      </c>
      <c r="AD39" s="60"/>
      <c r="AE39" s="57" t="str">
        <f>IFERROR(ROUND('C ARTS'!H41,0), "")</f>
        <v/>
      </c>
      <c r="AF39" s="57" t="str">
        <f>IFERROR(ROUND('C ARTS'!J41,0), "")</f>
        <v/>
      </c>
      <c r="AG39" s="56" t="str">
        <f t="shared" si="11"/>
        <v/>
      </c>
      <c r="AH39" s="57" t="str" cm="1">
        <f t="array" ref="AH39">IF(AG39&lt;&gt;"", ToGrade(AG39), "")</f>
        <v/>
      </c>
      <c r="AI39" s="58" t="str">
        <f>'C ARTS'!L41</f>
        <v/>
      </c>
      <c r="AJ39" s="59" t="str" cm="1">
        <f t="array" ref="AJ39">IF(AG39&lt;&gt;"", ToRemark(AG39), "")</f>
        <v/>
      </c>
      <c r="AK39" s="60"/>
      <c r="AL39" s="57" t="str">
        <f>IFERROR(ROUND('GH LANG'!H41,0), "")</f>
        <v/>
      </c>
      <c r="AM39" s="57" t="str">
        <f>IFERROR(ROUND('GH LANG'!J41,0), "")</f>
        <v/>
      </c>
      <c r="AN39" s="61" t="str">
        <f t="shared" si="12"/>
        <v/>
      </c>
      <c r="AO39" s="57" t="str" cm="1">
        <f t="array" ref="AO39">IF(AN39&lt;&gt;"", ToGrade(AN39), "")</f>
        <v/>
      </c>
      <c r="AP39" s="58" t="str">
        <f>'GH LANG'!L41</f>
        <v/>
      </c>
      <c r="AQ39" s="59" t="str" cm="1">
        <f t="array" ref="AQ39">IF(AN39&lt;&gt;"", ToRemark(AN39), "")</f>
        <v/>
      </c>
      <c r="AR39" s="60"/>
      <c r="AS39" s="57" t="str">
        <f>IFERROR(ROUND(COMPUTING!H41,0), "")</f>
        <v/>
      </c>
      <c r="AT39" s="57" t="str">
        <f>IFERROR(ROUND(COMPUTING!J41,0), "")</f>
        <v/>
      </c>
      <c r="AU39" s="56" t="str">
        <f t="shared" si="13"/>
        <v/>
      </c>
      <c r="AV39" s="57" t="str" cm="1">
        <f t="array" ref="AV39">IF(AU39&lt;&gt;"", ToGrade(AU39), "")</f>
        <v/>
      </c>
      <c r="AW39" s="58" t="str">
        <f>COMPUTING!L41</f>
        <v/>
      </c>
      <c r="AX39" s="59" t="str" cm="1">
        <f t="array" ref="AX39">IF(AU39&lt;&gt;"", ToRemark(AU39), "")</f>
        <v/>
      </c>
      <c r="AY39" s="62"/>
      <c r="AZ39" s="57" t="str">
        <f>IFERROR(ROUND(HISTERY!H41,0), "")</f>
        <v/>
      </c>
      <c r="BA39" s="57" t="str">
        <f>IFERROR(ROUND(HISTERY!J41,0), "")</f>
        <v/>
      </c>
      <c r="BB39" s="56" t="str">
        <f t="shared" si="14"/>
        <v/>
      </c>
      <c r="BC39" s="57" t="str" cm="1">
        <f t="array" ref="BC39">IF(BB39&lt;&gt;"", ToGrade(BB39), "")</f>
        <v/>
      </c>
      <c r="BD39" s="58" t="str">
        <f>HISTERY!L41</f>
        <v/>
      </c>
      <c r="BE39" s="59" t="str" cm="1">
        <f t="array" ref="BE39">IF(BB39&lt;&gt;"", ToRemark(BB39), "")</f>
        <v/>
      </c>
      <c r="BF39" s="60"/>
      <c r="BG39" s="57" t="str">
        <f>IFERROR(ROUND(RME!H41,0), "")</f>
        <v/>
      </c>
      <c r="BH39" s="57" t="str">
        <f>IFERROR(ROUND(RME!J41,0), "")</f>
        <v/>
      </c>
      <c r="BI39" s="56" t="str">
        <f t="shared" si="15"/>
        <v/>
      </c>
      <c r="BJ39" s="57" t="str" cm="1">
        <f t="array" ref="BJ39">IF(BI39&lt;&gt;"", ToGrade(BI39), "")</f>
        <v/>
      </c>
      <c r="BK39" s="58" t="str">
        <f>RME!L41</f>
        <v/>
      </c>
      <c r="BL39" s="59" t="str" cm="1">
        <f t="array" ref="BL39">IF(BI39&lt;&gt;"", ToRemark(BI39), "")</f>
        <v/>
      </c>
      <c r="BM39" s="74"/>
      <c r="BN39" s="97" t="str">
        <f t="shared" si="16"/>
        <v/>
      </c>
      <c r="BO39" s="106" t="str">
        <f t="shared" si="17"/>
        <v/>
      </c>
      <c r="BP39" s="98" t="str" cm="1">
        <f t="array" ref="BP39">IFERROR(OrdinalNumber(_xlfn.RANK.EQ(BN39,$BN$3:$BN$101)), "")</f>
        <v/>
      </c>
      <c r="BQ39" s="104"/>
      <c r="BR39" s="99"/>
      <c r="BS39" s="111"/>
      <c r="BT39" s="83" t="str" cm="1">
        <f t="array" ref="BT39">IF(LEN(B39)&lt;&gt;0, GetTeacherRemark(BO39), "")</f>
        <v/>
      </c>
      <c r="BU39" s="86" t="str">
        <f t="shared" si="18"/>
        <v/>
      </c>
      <c r="BV39" s="86" t="str">
        <f t="shared" si="19"/>
        <v/>
      </c>
      <c r="BW39" s="86" t="str">
        <f t="shared" si="20"/>
        <v/>
      </c>
      <c r="BX39" s="86" t="str">
        <f t="shared" si="21"/>
        <v/>
      </c>
      <c r="BY39" s="115" t="str">
        <f t="shared" si="22"/>
        <v/>
      </c>
      <c r="BZ39" s="87" t="str">
        <f t="shared" si="23"/>
        <v/>
      </c>
      <c r="CA39" s="86" t="str">
        <f t="shared" si="24"/>
        <v/>
      </c>
      <c r="CB39" s="85"/>
    </row>
    <row r="40" spans="1:80" x14ac:dyDescent="0.25">
      <c r="A40" s="53" t="str">
        <v>38</v>
      </c>
      <c r="B40" s="54" t="str">
        <v/>
      </c>
      <c r="C40" s="55" t="str">
        <f>IFERROR(ROUND(ENGLISH!H42,0), "")</f>
        <v/>
      </c>
      <c r="D40" s="55" t="str">
        <f>IFERROR(ROUND(ENGLISH!J42,0), "")</f>
        <v/>
      </c>
      <c r="E40" s="56" t="str">
        <f t="shared" si="7"/>
        <v/>
      </c>
      <c r="F40" s="57" t="str" cm="1">
        <f t="array" ref="F40">IF(E40&lt;&gt;"", ToGrade(E40), "")</f>
        <v/>
      </c>
      <c r="G40" s="58" t="str">
        <f>ENGLISH!L42</f>
        <v/>
      </c>
      <c r="H40" s="59" t="str" cm="1">
        <f t="array" ref="H40">IF(E40&lt;&gt;"", ToRemark(E40), "")</f>
        <v/>
      </c>
      <c r="I40" s="60"/>
      <c r="J40" s="55" t="str">
        <f>IFERROR(ROUND(MATHS!H42,0), "")</f>
        <v/>
      </c>
      <c r="K40" s="55" t="str">
        <f>IFERROR(ROUND(MATHS!J42,0), "")</f>
        <v/>
      </c>
      <c r="L40" s="56" t="str">
        <f t="shared" si="8"/>
        <v/>
      </c>
      <c r="M40" s="57" t="str" cm="1">
        <f t="array" ref="M40">IF(L40&lt;&gt;"", ToGrade(L40), "")</f>
        <v/>
      </c>
      <c r="N40" s="58" t="str">
        <f>MATHS!L42</f>
        <v/>
      </c>
      <c r="O40" s="59" t="str" cm="1">
        <f t="array" ref="O40">IF(L40&lt;&gt;"", ToRemark(L40), "")</f>
        <v/>
      </c>
      <c r="P40" s="60"/>
      <c r="Q40" s="57" t="str">
        <f>IFERROR(ROUND(SCIENCE!H42,0), "")</f>
        <v/>
      </c>
      <c r="R40" s="57" t="str">
        <f>IFERROR(ROUND(SCIENCE!J42,0), "")</f>
        <v/>
      </c>
      <c r="S40" s="56" t="str">
        <f t="shared" si="9"/>
        <v/>
      </c>
      <c r="T40" s="57" t="str" cm="1">
        <f t="array" ref="T40">IF(S40&lt;&gt;"", ToGrade(S40), "")</f>
        <v/>
      </c>
      <c r="U40" s="58" t="str">
        <f>SCIENCE!L42</f>
        <v/>
      </c>
      <c r="V40" s="59" t="str" cm="1">
        <f t="array" ref="V40">IF(S40&lt;&gt;"", ToRemark(S40), "")</f>
        <v/>
      </c>
      <c r="W40" s="60"/>
      <c r="X40" s="57" t="str">
        <f>IFERROR(ROUND(OWOP!H42,0), "")</f>
        <v/>
      </c>
      <c r="Y40" s="57" t="str">
        <f>IFERROR(ROUND(OWOP!J42,0), "")</f>
        <v/>
      </c>
      <c r="Z40" s="56" t="str">
        <f t="shared" si="10"/>
        <v/>
      </c>
      <c r="AA40" s="57" t="str" cm="1">
        <f t="array" ref="AA40">IF(Z40&lt;&gt;"", ToGrade(Z40), "")</f>
        <v/>
      </c>
      <c r="AB40" s="58" t="str">
        <f>OWOP!L42</f>
        <v/>
      </c>
      <c r="AC40" s="59" t="str" cm="1">
        <f t="array" ref="AC40">IF(Z40&lt;&gt;"", ToRemark(Z40), "")</f>
        <v/>
      </c>
      <c r="AD40" s="60"/>
      <c r="AE40" s="57" t="str">
        <f>IFERROR(ROUND('C ARTS'!H42,0), "")</f>
        <v/>
      </c>
      <c r="AF40" s="57" t="str">
        <f>IFERROR(ROUND('C ARTS'!J42,0), "")</f>
        <v/>
      </c>
      <c r="AG40" s="56" t="str">
        <f t="shared" si="11"/>
        <v/>
      </c>
      <c r="AH40" s="57" t="str" cm="1">
        <f t="array" ref="AH40">IF(AG40&lt;&gt;"", ToGrade(AG40), "")</f>
        <v/>
      </c>
      <c r="AI40" s="58" t="str">
        <f>'C ARTS'!L42</f>
        <v/>
      </c>
      <c r="AJ40" s="59" t="str" cm="1">
        <f t="array" ref="AJ40">IF(AG40&lt;&gt;"", ToRemark(AG40), "")</f>
        <v/>
      </c>
      <c r="AK40" s="60"/>
      <c r="AL40" s="57" t="str">
        <f>IFERROR(ROUND('GH LANG'!H42,0), "")</f>
        <v/>
      </c>
      <c r="AM40" s="57" t="str">
        <f>IFERROR(ROUND('GH LANG'!J42,0), "")</f>
        <v/>
      </c>
      <c r="AN40" s="61" t="str">
        <f t="shared" si="12"/>
        <v/>
      </c>
      <c r="AO40" s="57" t="str" cm="1">
        <f t="array" ref="AO40">IF(AN40&lt;&gt;"", ToGrade(AN40), "")</f>
        <v/>
      </c>
      <c r="AP40" s="58" t="str">
        <f>'GH LANG'!L42</f>
        <v/>
      </c>
      <c r="AQ40" s="59" t="str" cm="1">
        <f t="array" ref="AQ40">IF(AN40&lt;&gt;"", ToRemark(AN40), "")</f>
        <v/>
      </c>
      <c r="AR40" s="60"/>
      <c r="AS40" s="57" t="str">
        <f>IFERROR(ROUND(COMPUTING!H42,0), "")</f>
        <v/>
      </c>
      <c r="AT40" s="57" t="str">
        <f>IFERROR(ROUND(COMPUTING!J42,0), "")</f>
        <v/>
      </c>
      <c r="AU40" s="56" t="str">
        <f t="shared" si="13"/>
        <v/>
      </c>
      <c r="AV40" s="57" t="str" cm="1">
        <f t="array" ref="AV40">IF(AU40&lt;&gt;"", ToGrade(AU40), "")</f>
        <v/>
      </c>
      <c r="AW40" s="58" t="str">
        <f>COMPUTING!L42</f>
        <v/>
      </c>
      <c r="AX40" s="59" t="str" cm="1">
        <f t="array" ref="AX40">IF(AU40&lt;&gt;"", ToRemark(AU40), "")</f>
        <v/>
      </c>
      <c r="AY40" s="62"/>
      <c r="AZ40" s="57" t="str">
        <f>IFERROR(ROUND(HISTERY!H42,0), "")</f>
        <v/>
      </c>
      <c r="BA40" s="57" t="str">
        <f>IFERROR(ROUND(HISTERY!J42,0), "")</f>
        <v/>
      </c>
      <c r="BB40" s="56" t="str">
        <f t="shared" si="14"/>
        <v/>
      </c>
      <c r="BC40" s="57" t="str" cm="1">
        <f t="array" ref="BC40">IF(BB40&lt;&gt;"", ToGrade(BB40), "")</f>
        <v/>
      </c>
      <c r="BD40" s="58" t="str">
        <f>HISTERY!L42</f>
        <v/>
      </c>
      <c r="BE40" s="59" t="str" cm="1">
        <f t="array" ref="BE40">IF(BB40&lt;&gt;"", ToRemark(BB40), "")</f>
        <v/>
      </c>
      <c r="BF40" s="60"/>
      <c r="BG40" s="57" t="str">
        <f>IFERROR(ROUND(RME!H42,0), "")</f>
        <v/>
      </c>
      <c r="BH40" s="57" t="str">
        <f>IFERROR(ROUND(RME!J42,0), "")</f>
        <v/>
      </c>
      <c r="BI40" s="56" t="str">
        <f t="shared" si="15"/>
        <v/>
      </c>
      <c r="BJ40" s="57" t="str" cm="1">
        <f t="array" ref="BJ40">IF(BI40&lt;&gt;"", ToGrade(BI40), "")</f>
        <v/>
      </c>
      <c r="BK40" s="58" t="str">
        <f>RME!L42</f>
        <v/>
      </c>
      <c r="BL40" s="59" t="str" cm="1">
        <f t="array" ref="BL40">IF(BI40&lt;&gt;"", ToRemark(BI40), "")</f>
        <v/>
      </c>
      <c r="BM40" s="74"/>
      <c r="BN40" s="97" t="str">
        <f t="shared" si="16"/>
        <v/>
      </c>
      <c r="BO40" s="106" t="str">
        <f t="shared" si="17"/>
        <v/>
      </c>
      <c r="BP40" s="98" t="str" cm="1">
        <f t="array" ref="BP40">IFERROR(OrdinalNumber(_xlfn.RANK.EQ(BN40,$BN$3:$BN$101)), "")</f>
        <v/>
      </c>
      <c r="BQ40" s="104"/>
      <c r="BR40" s="99"/>
      <c r="BS40" s="111"/>
      <c r="BT40" s="83" t="str" cm="1">
        <f t="array" ref="BT40">IF(LEN(B40)&lt;&gt;0, GetTeacherRemark(BO40), "")</f>
        <v/>
      </c>
      <c r="BU40" s="86" t="str">
        <f t="shared" si="18"/>
        <v/>
      </c>
      <c r="BV40" s="86" t="str">
        <f t="shared" si="19"/>
        <v/>
      </c>
      <c r="BW40" s="86" t="str">
        <f t="shared" si="20"/>
        <v/>
      </c>
      <c r="BX40" s="86" t="str">
        <f t="shared" si="21"/>
        <v/>
      </c>
      <c r="BY40" s="115" t="str">
        <f t="shared" si="22"/>
        <v/>
      </c>
      <c r="BZ40" s="87" t="str">
        <f t="shared" si="23"/>
        <v/>
      </c>
      <c r="CA40" s="86" t="str">
        <f t="shared" si="24"/>
        <v/>
      </c>
      <c r="CB40" s="85"/>
    </row>
    <row r="41" spans="1:80" x14ac:dyDescent="0.25">
      <c r="A41" s="53" t="str">
        <v>39</v>
      </c>
      <c r="B41" s="54" t="str">
        <v/>
      </c>
      <c r="C41" s="55" t="str">
        <f>IFERROR(ROUND(ENGLISH!H43,0), "")</f>
        <v/>
      </c>
      <c r="D41" s="55" t="str">
        <f>IFERROR(ROUND(ENGLISH!J43,0), "")</f>
        <v/>
      </c>
      <c r="E41" s="56" t="str">
        <f t="shared" si="7"/>
        <v/>
      </c>
      <c r="F41" s="57" t="str" cm="1">
        <f t="array" ref="F41">IF(E41&lt;&gt;"", ToGrade(E41), "")</f>
        <v/>
      </c>
      <c r="G41" s="58" t="str">
        <f>ENGLISH!L43</f>
        <v/>
      </c>
      <c r="H41" s="59" t="str" cm="1">
        <f t="array" ref="H41">IF(E41&lt;&gt;"", ToRemark(E41), "")</f>
        <v/>
      </c>
      <c r="I41" s="60"/>
      <c r="J41" s="55" t="str">
        <f>IFERROR(ROUND(MATHS!H43,0), "")</f>
        <v/>
      </c>
      <c r="K41" s="55" t="str">
        <f>IFERROR(ROUND(MATHS!J43,0), "")</f>
        <v/>
      </c>
      <c r="L41" s="56" t="str">
        <f t="shared" si="8"/>
        <v/>
      </c>
      <c r="M41" s="57" t="str" cm="1">
        <f t="array" ref="M41">IF(L41&lt;&gt;"", ToGrade(L41), "")</f>
        <v/>
      </c>
      <c r="N41" s="58" t="str">
        <f>MATHS!L43</f>
        <v/>
      </c>
      <c r="O41" s="59" t="str" cm="1">
        <f t="array" ref="O41">IF(L41&lt;&gt;"", ToRemark(L41), "")</f>
        <v/>
      </c>
      <c r="P41" s="60"/>
      <c r="Q41" s="57" t="str">
        <f>IFERROR(ROUND(SCIENCE!H43,0), "")</f>
        <v/>
      </c>
      <c r="R41" s="57" t="str">
        <f>IFERROR(ROUND(SCIENCE!J43,0), "")</f>
        <v/>
      </c>
      <c r="S41" s="56" t="str">
        <f t="shared" si="9"/>
        <v/>
      </c>
      <c r="T41" s="57" t="str" cm="1">
        <f t="array" ref="T41">IF(S41&lt;&gt;"", ToGrade(S41), "")</f>
        <v/>
      </c>
      <c r="U41" s="58" t="str">
        <f>SCIENCE!L43</f>
        <v/>
      </c>
      <c r="V41" s="59" t="str" cm="1">
        <f t="array" ref="V41">IF(S41&lt;&gt;"", ToRemark(S41), "")</f>
        <v/>
      </c>
      <c r="W41" s="60"/>
      <c r="X41" s="57" t="str">
        <f>IFERROR(ROUND(OWOP!H43,0), "")</f>
        <v/>
      </c>
      <c r="Y41" s="57" t="str">
        <f>IFERROR(ROUND(OWOP!J43,0), "")</f>
        <v/>
      </c>
      <c r="Z41" s="56" t="str">
        <f t="shared" si="10"/>
        <v/>
      </c>
      <c r="AA41" s="57" t="str" cm="1">
        <f t="array" ref="AA41">IF(Z41&lt;&gt;"", ToGrade(Z41), "")</f>
        <v/>
      </c>
      <c r="AB41" s="58" t="str">
        <f>OWOP!L43</f>
        <v/>
      </c>
      <c r="AC41" s="59" t="str" cm="1">
        <f t="array" ref="AC41">IF(Z41&lt;&gt;"", ToRemark(Z41), "")</f>
        <v/>
      </c>
      <c r="AD41" s="60"/>
      <c r="AE41" s="57" t="str">
        <f>IFERROR(ROUND('C ARTS'!H43,0), "")</f>
        <v/>
      </c>
      <c r="AF41" s="57" t="str">
        <f>IFERROR(ROUND('C ARTS'!J43,0), "")</f>
        <v/>
      </c>
      <c r="AG41" s="56" t="str">
        <f t="shared" si="11"/>
        <v/>
      </c>
      <c r="AH41" s="57" t="str" cm="1">
        <f t="array" ref="AH41">IF(AG41&lt;&gt;"", ToGrade(AG41), "")</f>
        <v/>
      </c>
      <c r="AI41" s="58" t="str">
        <f>'C ARTS'!L43</f>
        <v/>
      </c>
      <c r="AJ41" s="59" t="str" cm="1">
        <f t="array" ref="AJ41">IF(AG41&lt;&gt;"", ToRemark(AG41), "")</f>
        <v/>
      </c>
      <c r="AK41" s="60"/>
      <c r="AL41" s="57" t="str">
        <f>IFERROR(ROUND('GH LANG'!H43,0), "")</f>
        <v/>
      </c>
      <c r="AM41" s="57" t="str">
        <f>IFERROR(ROUND('GH LANG'!J43,0), "")</f>
        <v/>
      </c>
      <c r="AN41" s="61" t="str">
        <f t="shared" si="12"/>
        <v/>
      </c>
      <c r="AO41" s="57" t="str" cm="1">
        <f t="array" ref="AO41">IF(AN41&lt;&gt;"", ToGrade(AN41), "")</f>
        <v/>
      </c>
      <c r="AP41" s="58" t="str">
        <f>'GH LANG'!L43</f>
        <v/>
      </c>
      <c r="AQ41" s="59" t="str" cm="1">
        <f t="array" ref="AQ41">IF(AN41&lt;&gt;"", ToRemark(AN41), "")</f>
        <v/>
      </c>
      <c r="AR41" s="60"/>
      <c r="AS41" s="57" t="str">
        <f>IFERROR(ROUND(COMPUTING!H43,0), "")</f>
        <v/>
      </c>
      <c r="AT41" s="57" t="str">
        <f>IFERROR(ROUND(COMPUTING!J43,0), "")</f>
        <v/>
      </c>
      <c r="AU41" s="56" t="str">
        <f t="shared" si="13"/>
        <v/>
      </c>
      <c r="AV41" s="57" t="str" cm="1">
        <f t="array" ref="AV41">IF(AU41&lt;&gt;"", ToGrade(AU41), "")</f>
        <v/>
      </c>
      <c r="AW41" s="58" t="str">
        <f>COMPUTING!L43</f>
        <v/>
      </c>
      <c r="AX41" s="59" t="str" cm="1">
        <f t="array" ref="AX41">IF(AU41&lt;&gt;"", ToRemark(AU41), "")</f>
        <v/>
      </c>
      <c r="AY41" s="62"/>
      <c r="AZ41" s="57" t="str">
        <f>IFERROR(ROUND(HISTERY!H43,0), "")</f>
        <v/>
      </c>
      <c r="BA41" s="57" t="str">
        <f>IFERROR(ROUND(HISTERY!J43,0), "")</f>
        <v/>
      </c>
      <c r="BB41" s="56" t="str">
        <f t="shared" si="14"/>
        <v/>
      </c>
      <c r="BC41" s="57" t="str" cm="1">
        <f t="array" ref="BC41">IF(BB41&lt;&gt;"", ToGrade(BB41), "")</f>
        <v/>
      </c>
      <c r="BD41" s="58" t="str">
        <f>HISTERY!L43</f>
        <v/>
      </c>
      <c r="BE41" s="59" t="str" cm="1">
        <f t="array" ref="BE41">IF(BB41&lt;&gt;"", ToRemark(BB41), "")</f>
        <v/>
      </c>
      <c r="BF41" s="60"/>
      <c r="BG41" s="57" t="str">
        <f>IFERROR(ROUND(RME!H43,0), "")</f>
        <v/>
      </c>
      <c r="BH41" s="57" t="str">
        <f>IFERROR(ROUND(RME!J43,0), "")</f>
        <v/>
      </c>
      <c r="BI41" s="56" t="str">
        <f t="shared" si="15"/>
        <v/>
      </c>
      <c r="BJ41" s="57" t="str" cm="1">
        <f t="array" ref="BJ41">IF(BI41&lt;&gt;"", ToGrade(BI41), "")</f>
        <v/>
      </c>
      <c r="BK41" s="58" t="str">
        <f>RME!L43</f>
        <v/>
      </c>
      <c r="BL41" s="59" t="str" cm="1">
        <f t="array" ref="BL41">IF(BI41&lt;&gt;"", ToRemark(BI41), "")</f>
        <v/>
      </c>
      <c r="BM41" s="74"/>
      <c r="BN41" s="97" t="str">
        <f t="shared" si="16"/>
        <v/>
      </c>
      <c r="BO41" s="106" t="str">
        <f t="shared" si="17"/>
        <v/>
      </c>
      <c r="BP41" s="98" t="str" cm="1">
        <f t="array" ref="BP41">IFERROR(OrdinalNumber(_xlfn.RANK.EQ(BN41,$BN$3:$BN$101)), "")</f>
        <v/>
      </c>
      <c r="BQ41" s="104"/>
      <c r="BR41" s="99"/>
      <c r="BS41" s="111"/>
      <c r="BT41" s="83" t="str" cm="1">
        <f t="array" ref="BT41">IF(LEN(B41)&lt;&gt;0, GetTeacherRemark(BO41), "")</f>
        <v/>
      </c>
      <c r="BU41" s="86" t="str">
        <f t="shared" si="18"/>
        <v/>
      </c>
      <c r="BV41" s="86" t="str">
        <f t="shared" si="19"/>
        <v/>
      </c>
      <c r="BW41" s="86" t="str">
        <f t="shared" si="20"/>
        <v/>
      </c>
      <c r="BX41" s="86" t="str">
        <f t="shared" si="21"/>
        <v/>
      </c>
      <c r="BY41" s="115" t="str">
        <f t="shared" si="22"/>
        <v/>
      </c>
      <c r="BZ41" s="87" t="str">
        <f t="shared" si="23"/>
        <v/>
      </c>
      <c r="CA41" s="86" t="str">
        <f t="shared" si="24"/>
        <v/>
      </c>
      <c r="CB41" s="85"/>
    </row>
    <row r="42" spans="1:80" x14ac:dyDescent="0.25">
      <c r="A42" s="53" t="str">
        <v>40</v>
      </c>
      <c r="B42" s="54" t="str">
        <v/>
      </c>
      <c r="C42" s="55" t="str">
        <f>IFERROR(ROUND(ENGLISH!H44,0), "")</f>
        <v/>
      </c>
      <c r="D42" s="55" t="str">
        <f>IFERROR(ROUND(ENGLISH!J44,0), "")</f>
        <v/>
      </c>
      <c r="E42" s="56" t="str">
        <f t="shared" si="7"/>
        <v/>
      </c>
      <c r="F42" s="57" t="str" cm="1">
        <f t="array" ref="F42">IF(E42&lt;&gt;"", ToGrade(E42), "")</f>
        <v/>
      </c>
      <c r="G42" s="58" t="str">
        <f>ENGLISH!L44</f>
        <v/>
      </c>
      <c r="H42" s="59" t="str" cm="1">
        <f t="array" ref="H42">IF(E42&lt;&gt;"", ToRemark(E42), "")</f>
        <v/>
      </c>
      <c r="I42" s="60"/>
      <c r="J42" s="55" t="str">
        <f>IFERROR(ROUND(MATHS!H44,0), "")</f>
        <v/>
      </c>
      <c r="K42" s="55" t="str">
        <f>IFERROR(ROUND(MATHS!J44,0), "")</f>
        <v/>
      </c>
      <c r="L42" s="56" t="str">
        <f t="shared" si="8"/>
        <v/>
      </c>
      <c r="M42" s="57" t="str" cm="1">
        <f t="array" ref="M42">IF(L42&lt;&gt;"", ToGrade(L42), "")</f>
        <v/>
      </c>
      <c r="N42" s="58" t="str">
        <f>MATHS!L44</f>
        <v/>
      </c>
      <c r="O42" s="59" t="str" cm="1">
        <f t="array" ref="O42">IF(L42&lt;&gt;"", ToRemark(L42), "")</f>
        <v/>
      </c>
      <c r="P42" s="60"/>
      <c r="Q42" s="57" t="str">
        <f>IFERROR(ROUND(SCIENCE!H44,0), "")</f>
        <v/>
      </c>
      <c r="R42" s="57" t="str">
        <f>IFERROR(ROUND(SCIENCE!J44,0), "")</f>
        <v/>
      </c>
      <c r="S42" s="56" t="str">
        <f t="shared" si="9"/>
        <v/>
      </c>
      <c r="T42" s="57" t="str" cm="1">
        <f t="array" ref="T42">IF(S42&lt;&gt;"", ToGrade(S42), "")</f>
        <v/>
      </c>
      <c r="U42" s="58" t="str">
        <f>SCIENCE!L44</f>
        <v/>
      </c>
      <c r="V42" s="59" t="str" cm="1">
        <f t="array" ref="V42">IF(S42&lt;&gt;"", ToRemark(S42), "")</f>
        <v/>
      </c>
      <c r="W42" s="60"/>
      <c r="X42" s="57" t="str">
        <f>IFERROR(ROUND(OWOP!H44,0), "")</f>
        <v/>
      </c>
      <c r="Y42" s="57" t="str">
        <f>IFERROR(ROUND(OWOP!J44,0), "")</f>
        <v/>
      </c>
      <c r="Z42" s="56" t="str">
        <f t="shared" si="10"/>
        <v/>
      </c>
      <c r="AA42" s="57" t="str" cm="1">
        <f t="array" ref="AA42">IF(Z42&lt;&gt;"", ToGrade(Z42), "")</f>
        <v/>
      </c>
      <c r="AB42" s="58" t="str">
        <f>OWOP!L44</f>
        <v/>
      </c>
      <c r="AC42" s="59" t="str" cm="1">
        <f t="array" ref="AC42">IF(Z42&lt;&gt;"", ToRemark(Z42), "")</f>
        <v/>
      </c>
      <c r="AD42" s="60"/>
      <c r="AE42" s="57" t="str">
        <f>IFERROR(ROUND('C ARTS'!H44,0), "")</f>
        <v/>
      </c>
      <c r="AF42" s="57" t="str">
        <f>IFERROR(ROUND('C ARTS'!J44,0), "")</f>
        <v/>
      </c>
      <c r="AG42" s="56" t="str">
        <f t="shared" si="11"/>
        <v/>
      </c>
      <c r="AH42" s="57" t="str" cm="1">
        <f t="array" ref="AH42">IF(AG42&lt;&gt;"", ToGrade(AG42), "")</f>
        <v/>
      </c>
      <c r="AI42" s="58" t="str">
        <f>'C ARTS'!L44</f>
        <v/>
      </c>
      <c r="AJ42" s="59" t="str" cm="1">
        <f t="array" ref="AJ42">IF(AG42&lt;&gt;"", ToRemark(AG42), "")</f>
        <v/>
      </c>
      <c r="AK42" s="60"/>
      <c r="AL42" s="57" t="str">
        <f>IFERROR(ROUND('GH LANG'!H44,0), "")</f>
        <v/>
      </c>
      <c r="AM42" s="57" t="str">
        <f>IFERROR(ROUND('GH LANG'!J44,0), "")</f>
        <v/>
      </c>
      <c r="AN42" s="61" t="str">
        <f t="shared" si="12"/>
        <v/>
      </c>
      <c r="AO42" s="57" t="str" cm="1">
        <f t="array" ref="AO42">IF(AN42&lt;&gt;"", ToGrade(AN42), "")</f>
        <v/>
      </c>
      <c r="AP42" s="58" t="str">
        <f>'GH LANG'!L44</f>
        <v/>
      </c>
      <c r="AQ42" s="59" t="str" cm="1">
        <f t="array" ref="AQ42">IF(AN42&lt;&gt;"", ToRemark(AN42), "")</f>
        <v/>
      </c>
      <c r="AR42" s="60"/>
      <c r="AS42" s="57" t="str">
        <f>IFERROR(ROUND(COMPUTING!H44,0), "")</f>
        <v/>
      </c>
      <c r="AT42" s="57" t="str">
        <f>IFERROR(ROUND(COMPUTING!J44,0), "")</f>
        <v/>
      </c>
      <c r="AU42" s="56" t="str">
        <f t="shared" si="13"/>
        <v/>
      </c>
      <c r="AV42" s="57" t="str" cm="1">
        <f t="array" ref="AV42">IF(AU42&lt;&gt;"", ToGrade(AU42), "")</f>
        <v/>
      </c>
      <c r="AW42" s="58" t="str">
        <f>COMPUTING!L44</f>
        <v/>
      </c>
      <c r="AX42" s="59" t="str" cm="1">
        <f t="array" ref="AX42">IF(AU42&lt;&gt;"", ToRemark(AU42), "")</f>
        <v/>
      </c>
      <c r="AY42" s="62"/>
      <c r="AZ42" s="57" t="str">
        <f>IFERROR(ROUND(HISTERY!H44,0), "")</f>
        <v/>
      </c>
      <c r="BA42" s="57" t="str">
        <f>IFERROR(ROUND(HISTERY!J44,0), "")</f>
        <v/>
      </c>
      <c r="BB42" s="56" t="str">
        <f t="shared" si="14"/>
        <v/>
      </c>
      <c r="BC42" s="57" t="str" cm="1">
        <f t="array" ref="BC42">IF(BB42&lt;&gt;"", ToGrade(BB42), "")</f>
        <v/>
      </c>
      <c r="BD42" s="58" t="str">
        <f>HISTERY!L44</f>
        <v/>
      </c>
      <c r="BE42" s="59" t="str" cm="1">
        <f t="array" ref="BE42">IF(BB42&lt;&gt;"", ToRemark(BB42), "")</f>
        <v/>
      </c>
      <c r="BF42" s="60"/>
      <c r="BG42" s="57" t="str">
        <f>IFERROR(ROUND(RME!H44,0), "")</f>
        <v/>
      </c>
      <c r="BH42" s="57" t="str">
        <f>IFERROR(ROUND(RME!J44,0), "")</f>
        <v/>
      </c>
      <c r="BI42" s="56" t="str">
        <f t="shared" si="15"/>
        <v/>
      </c>
      <c r="BJ42" s="57" t="str" cm="1">
        <f t="array" ref="BJ42">IF(BI42&lt;&gt;"", ToGrade(BI42), "")</f>
        <v/>
      </c>
      <c r="BK42" s="58" t="str">
        <f>RME!L44</f>
        <v/>
      </c>
      <c r="BL42" s="59" t="str" cm="1">
        <f t="array" ref="BL42">IF(BI42&lt;&gt;"", ToRemark(BI42), "")</f>
        <v/>
      </c>
      <c r="BM42" s="74"/>
      <c r="BN42" s="97" t="str">
        <f t="shared" si="16"/>
        <v/>
      </c>
      <c r="BO42" s="106" t="str">
        <f t="shared" si="17"/>
        <v/>
      </c>
      <c r="BP42" s="98" t="str" cm="1">
        <f t="array" ref="BP42">IFERROR(OrdinalNumber(_xlfn.RANK.EQ(BN42,$BN$3:$BN$101)), "")</f>
        <v/>
      </c>
      <c r="BQ42" s="104"/>
      <c r="BR42" s="99"/>
      <c r="BS42" s="111"/>
      <c r="BT42" s="83" t="str" cm="1">
        <f t="array" ref="BT42">IF(LEN(B42)&lt;&gt;0, GetTeacherRemark(BO42), "")</f>
        <v/>
      </c>
      <c r="BU42" s="86" t="str">
        <f t="shared" si="18"/>
        <v/>
      </c>
      <c r="BV42" s="86" t="str">
        <f t="shared" si="19"/>
        <v/>
      </c>
      <c r="BW42" s="86" t="str">
        <f t="shared" si="20"/>
        <v/>
      </c>
      <c r="BX42" s="86" t="str">
        <f t="shared" si="21"/>
        <v/>
      </c>
      <c r="BY42" s="115" t="str">
        <f t="shared" si="22"/>
        <v/>
      </c>
      <c r="BZ42" s="87" t="str">
        <f t="shared" si="23"/>
        <v/>
      </c>
      <c r="CA42" s="86" t="str">
        <f t="shared" si="24"/>
        <v/>
      </c>
      <c r="CB42" s="85"/>
    </row>
    <row r="43" spans="1:80" x14ac:dyDescent="0.25">
      <c r="A43" s="53" t="str">
        <v>41</v>
      </c>
      <c r="B43" s="54" t="str">
        <v/>
      </c>
      <c r="C43" s="55" t="str">
        <f>IFERROR(ROUND(ENGLISH!H45,0), "")</f>
        <v/>
      </c>
      <c r="D43" s="55" t="str">
        <f>IFERROR(ROUND(ENGLISH!J45,0), "")</f>
        <v/>
      </c>
      <c r="E43" s="56" t="str">
        <f t="shared" si="7"/>
        <v/>
      </c>
      <c r="F43" s="57" t="str" cm="1">
        <f t="array" ref="F43">IF(E43&lt;&gt;"", ToGrade(E43), "")</f>
        <v/>
      </c>
      <c r="G43" s="58" t="str">
        <f>ENGLISH!L45</f>
        <v/>
      </c>
      <c r="H43" s="59" t="str" cm="1">
        <f t="array" ref="H43">IF(E43&lt;&gt;"", ToRemark(E43), "")</f>
        <v/>
      </c>
      <c r="I43" s="60"/>
      <c r="J43" s="55" t="str">
        <f>IFERROR(ROUND(MATHS!H45,0), "")</f>
        <v/>
      </c>
      <c r="K43" s="55" t="str">
        <f>IFERROR(ROUND(MATHS!J45,0), "")</f>
        <v/>
      </c>
      <c r="L43" s="56" t="str">
        <f t="shared" si="8"/>
        <v/>
      </c>
      <c r="M43" s="57" t="str" cm="1">
        <f t="array" ref="M43">IF(L43&lt;&gt;"", ToGrade(L43), "")</f>
        <v/>
      </c>
      <c r="N43" s="58" t="str">
        <f>MATHS!L45</f>
        <v/>
      </c>
      <c r="O43" s="59" t="str" cm="1">
        <f t="array" ref="O43">IF(L43&lt;&gt;"", ToRemark(L43), "")</f>
        <v/>
      </c>
      <c r="P43" s="60"/>
      <c r="Q43" s="57" t="str">
        <f>IFERROR(ROUND(SCIENCE!H45,0), "")</f>
        <v/>
      </c>
      <c r="R43" s="57" t="str">
        <f>IFERROR(ROUND(SCIENCE!J45,0), "")</f>
        <v/>
      </c>
      <c r="S43" s="56" t="str">
        <f t="shared" si="9"/>
        <v/>
      </c>
      <c r="T43" s="57" t="str" cm="1">
        <f t="array" ref="T43">IF(S43&lt;&gt;"", ToGrade(S43), "")</f>
        <v/>
      </c>
      <c r="U43" s="58" t="str">
        <f>SCIENCE!L45</f>
        <v/>
      </c>
      <c r="V43" s="59" t="str" cm="1">
        <f t="array" ref="V43">IF(S43&lt;&gt;"", ToRemark(S43), "")</f>
        <v/>
      </c>
      <c r="W43" s="60"/>
      <c r="X43" s="57" t="str">
        <f>IFERROR(ROUND(OWOP!H45,0), "")</f>
        <v/>
      </c>
      <c r="Y43" s="57" t="str">
        <f>IFERROR(ROUND(OWOP!J45,0), "")</f>
        <v/>
      </c>
      <c r="Z43" s="56" t="str">
        <f t="shared" si="10"/>
        <v/>
      </c>
      <c r="AA43" s="57" t="str" cm="1">
        <f t="array" ref="AA43">IF(Z43&lt;&gt;"", ToGrade(Z43), "")</f>
        <v/>
      </c>
      <c r="AB43" s="58" t="str">
        <f>OWOP!L45</f>
        <v/>
      </c>
      <c r="AC43" s="59" t="str" cm="1">
        <f t="array" ref="AC43">IF(Z43&lt;&gt;"", ToRemark(Z43), "")</f>
        <v/>
      </c>
      <c r="AD43" s="60"/>
      <c r="AE43" s="57" t="str">
        <f>IFERROR(ROUND('C ARTS'!H45,0), "")</f>
        <v/>
      </c>
      <c r="AF43" s="57" t="str">
        <f>IFERROR(ROUND('C ARTS'!J45,0), "")</f>
        <v/>
      </c>
      <c r="AG43" s="56" t="str">
        <f t="shared" si="11"/>
        <v/>
      </c>
      <c r="AH43" s="57" t="str" cm="1">
        <f t="array" ref="AH43">IF(AG43&lt;&gt;"", ToGrade(AG43), "")</f>
        <v/>
      </c>
      <c r="AI43" s="58" t="str">
        <f>'C ARTS'!L45</f>
        <v/>
      </c>
      <c r="AJ43" s="59" t="str" cm="1">
        <f t="array" ref="AJ43">IF(AG43&lt;&gt;"", ToRemark(AG43), "")</f>
        <v/>
      </c>
      <c r="AK43" s="60"/>
      <c r="AL43" s="57" t="str">
        <f>IFERROR(ROUND('GH LANG'!H45,0), "")</f>
        <v/>
      </c>
      <c r="AM43" s="57" t="str">
        <f>IFERROR(ROUND('GH LANG'!J45,0), "")</f>
        <v/>
      </c>
      <c r="AN43" s="61" t="str">
        <f t="shared" si="12"/>
        <v/>
      </c>
      <c r="AO43" s="57" t="str" cm="1">
        <f t="array" ref="AO43">IF(AN43&lt;&gt;"", ToGrade(AN43), "")</f>
        <v/>
      </c>
      <c r="AP43" s="58" t="str">
        <f>'GH LANG'!L45</f>
        <v/>
      </c>
      <c r="AQ43" s="59" t="str" cm="1">
        <f t="array" ref="AQ43">IF(AN43&lt;&gt;"", ToRemark(AN43), "")</f>
        <v/>
      </c>
      <c r="AR43" s="60"/>
      <c r="AS43" s="57" t="str">
        <f>IFERROR(ROUND(COMPUTING!H45,0), "")</f>
        <v/>
      </c>
      <c r="AT43" s="57" t="str">
        <f>IFERROR(ROUND(COMPUTING!J45,0), "")</f>
        <v/>
      </c>
      <c r="AU43" s="56" t="str">
        <f t="shared" si="13"/>
        <v/>
      </c>
      <c r="AV43" s="57" t="str" cm="1">
        <f t="array" ref="AV43">IF(AU43&lt;&gt;"", ToGrade(AU43), "")</f>
        <v/>
      </c>
      <c r="AW43" s="58" t="str">
        <f>COMPUTING!L45</f>
        <v/>
      </c>
      <c r="AX43" s="59" t="str" cm="1">
        <f t="array" ref="AX43">IF(AU43&lt;&gt;"", ToRemark(AU43), "")</f>
        <v/>
      </c>
      <c r="AY43" s="62"/>
      <c r="AZ43" s="57" t="str">
        <f>IFERROR(ROUND(HISTERY!H45,0), "")</f>
        <v/>
      </c>
      <c r="BA43" s="57" t="str">
        <f>IFERROR(ROUND(HISTERY!J45,0), "")</f>
        <v/>
      </c>
      <c r="BB43" s="56" t="str">
        <f t="shared" si="14"/>
        <v/>
      </c>
      <c r="BC43" s="57" t="str" cm="1">
        <f t="array" ref="BC43">IF(BB43&lt;&gt;"", ToGrade(BB43), "")</f>
        <v/>
      </c>
      <c r="BD43" s="58" t="str">
        <f>HISTERY!L45</f>
        <v/>
      </c>
      <c r="BE43" s="59" t="str" cm="1">
        <f t="array" ref="BE43">IF(BB43&lt;&gt;"", ToRemark(BB43), "")</f>
        <v/>
      </c>
      <c r="BF43" s="60"/>
      <c r="BG43" s="57" t="str">
        <f>IFERROR(ROUND(RME!H45,0), "")</f>
        <v/>
      </c>
      <c r="BH43" s="57" t="str">
        <f>IFERROR(ROUND(RME!J45,0), "")</f>
        <v/>
      </c>
      <c r="BI43" s="56" t="str">
        <f t="shared" si="15"/>
        <v/>
      </c>
      <c r="BJ43" s="57" t="str" cm="1">
        <f t="array" ref="BJ43">IF(BI43&lt;&gt;"", ToGrade(BI43), "")</f>
        <v/>
      </c>
      <c r="BK43" s="58" t="str">
        <f>RME!L45</f>
        <v/>
      </c>
      <c r="BL43" s="59" t="str" cm="1">
        <f t="array" ref="BL43">IF(BI43&lt;&gt;"", ToRemark(BI43), "")</f>
        <v/>
      </c>
      <c r="BM43" s="74"/>
      <c r="BN43" s="97" t="str">
        <f t="shared" si="16"/>
        <v/>
      </c>
      <c r="BO43" s="106" t="str">
        <f t="shared" si="17"/>
        <v/>
      </c>
      <c r="BP43" s="98" t="str" cm="1">
        <f t="array" ref="BP43">IFERROR(OrdinalNumber(_xlfn.RANK.EQ(BN43,$BN$3:$BN$101)), "")</f>
        <v/>
      </c>
      <c r="BQ43" s="104"/>
      <c r="BR43" s="99"/>
      <c r="BS43" s="111"/>
      <c r="BT43" s="83" t="str" cm="1">
        <f t="array" ref="BT43">IF(LEN(B43)&lt;&gt;0, GetTeacherRemark(BO43), "")</f>
        <v/>
      </c>
      <c r="BU43" s="86" t="str">
        <f t="shared" si="18"/>
        <v/>
      </c>
      <c r="BV43" s="86" t="str">
        <f t="shared" si="19"/>
        <v/>
      </c>
      <c r="BW43" s="86" t="str">
        <f t="shared" si="20"/>
        <v/>
      </c>
      <c r="BX43" s="86" t="str">
        <f t="shared" si="21"/>
        <v/>
      </c>
      <c r="BY43" s="115" t="str">
        <f t="shared" si="22"/>
        <v/>
      </c>
      <c r="BZ43" s="87" t="str">
        <f t="shared" si="23"/>
        <v/>
      </c>
      <c r="CA43" s="86" t="str">
        <f t="shared" si="24"/>
        <v/>
      </c>
      <c r="CB43" s="85"/>
    </row>
    <row r="44" spans="1:80" x14ac:dyDescent="0.25">
      <c r="A44" s="53" t="str">
        <v>42</v>
      </c>
      <c r="B44" s="54" t="str">
        <v/>
      </c>
      <c r="C44" s="55" t="str">
        <f>IFERROR(ROUND(ENGLISH!H46,0), "")</f>
        <v/>
      </c>
      <c r="D44" s="55" t="str">
        <f>IFERROR(ROUND(ENGLISH!J46,0), "")</f>
        <v/>
      </c>
      <c r="E44" s="56" t="str">
        <f t="shared" si="7"/>
        <v/>
      </c>
      <c r="F44" s="57" t="str" cm="1">
        <f t="array" ref="F44">IF(E44&lt;&gt;"", ToGrade(E44), "")</f>
        <v/>
      </c>
      <c r="G44" s="58" t="str">
        <f>ENGLISH!L46</f>
        <v/>
      </c>
      <c r="H44" s="59" t="str" cm="1">
        <f t="array" ref="H44">IF(E44&lt;&gt;"", ToRemark(E44), "")</f>
        <v/>
      </c>
      <c r="I44" s="60"/>
      <c r="J44" s="55" t="str">
        <f>IFERROR(ROUND(MATHS!H46,0), "")</f>
        <v/>
      </c>
      <c r="K44" s="55" t="str">
        <f>IFERROR(ROUND(MATHS!J46,0), "")</f>
        <v/>
      </c>
      <c r="L44" s="56" t="str">
        <f t="shared" si="8"/>
        <v/>
      </c>
      <c r="M44" s="57" t="str" cm="1">
        <f t="array" ref="M44">IF(L44&lt;&gt;"", ToGrade(L44), "")</f>
        <v/>
      </c>
      <c r="N44" s="58" t="str">
        <f>MATHS!L46</f>
        <v/>
      </c>
      <c r="O44" s="59" t="str" cm="1">
        <f t="array" ref="O44">IF(L44&lt;&gt;"", ToRemark(L44), "")</f>
        <v/>
      </c>
      <c r="P44" s="60"/>
      <c r="Q44" s="57" t="str">
        <f>IFERROR(ROUND(SCIENCE!H46,0), "")</f>
        <v/>
      </c>
      <c r="R44" s="57" t="str">
        <f>IFERROR(ROUND(SCIENCE!J46,0), "")</f>
        <v/>
      </c>
      <c r="S44" s="56" t="str">
        <f t="shared" si="9"/>
        <v/>
      </c>
      <c r="T44" s="57" t="str" cm="1">
        <f t="array" ref="T44">IF(S44&lt;&gt;"", ToGrade(S44), "")</f>
        <v/>
      </c>
      <c r="U44" s="58" t="str">
        <f>SCIENCE!L46</f>
        <v/>
      </c>
      <c r="V44" s="59" t="str" cm="1">
        <f t="array" ref="V44">IF(S44&lt;&gt;"", ToRemark(S44), "")</f>
        <v/>
      </c>
      <c r="W44" s="60"/>
      <c r="X44" s="57" t="str">
        <f>IFERROR(ROUND(OWOP!H46,0), "")</f>
        <v/>
      </c>
      <c r="Y44" s="57" t="str">
        <f>IFERROR(ROUND(OWOP!J46,0), "")</f>
        <v/>
      </c>
      <c r="Z44" s="56" t="str">
        <f t="shared" si="10"/>
        <v/>
      </c>
      <c r="AA44" s="57" t="str" cm="1">
        <f t="array" ref="AA44">IF(Z44&lt;&gt;"", ToGrade(Z44), "")</f>
        <v/>
      </c>
      <c r="AB44" s="58" t="str">
        <f>OWOP!L46</f>
        <v/>
      </c>
      <c r="AC44" s="59" t="str" cm="1">
        <f t="array" ref="AC44">IF(Z44&lt;&gt;"", ToRemark(Z44), "")</f>
        <v/>
      </c>
      <c r="AD44" s="60"/>
      <c r="AE44" s="57" t="str">
        <f>IFERROR(ROUND('C ARTS'!H46,0), "")</f>
        <v/>
      </c>
      <c r="AF44" s="57" t="str">
        <f>IFERROR(ROUND('C ARTS'!J46,0), "")</f>
        <v/>
      </c>
      <c r="AG44" s="56" t="str">
        <f t="shared" si="11"/>
        <v/>
      </c>
      <c r="AH44" s="57" t="str" cm="1">
        <f t="array" ref="AH44">IF(AG44&lt;&gt;"", ToGrade(AG44), "")</f>
        <v/>
      </c>
      <c r="AI44" s="58" t="str">
        <f>'C ARTS'!L46</f>
        <v/>
      </c>
      <c r="AJ44" s="59" t="str" cm="1">
        <f t="array" ref="AJ44">IF(AG44&lt;&gt;"", ToRemark(AG44), "")</f>
        <v/>
      </c>
      <c r="AK44" s="60"/>
      <c r="AL44" s="57" t="str">
        <f>IFERROR(ROUND('GH LANG'!H46,0), "")</f>
        <v/>
      </c>
      <c r="AM44" s="57" t="str">
        <f>IFERROR(ROUND('GH LANG'!J46,0), "")</f>
        <v/>
      </c>
      <c r="AN44" s="61" t="str">
        <f t="shared" si="12"/>
        <v/>
      </c>
      <c r="AO44" s="57" t="str" cm="1">
        <f t="array" ref="AO44">IF(AN44&lt;&gt;"", ToGrade(AN44), "")</f>
        <v/>
      </c>
      <c r="AP44" s="58" t="str">
        <f>'GH LANG'!L46</f>
        <v/>
      </c>
      <c r="AQ44" s="59" t="str" cm="1">
        <f t="array" ref="AQ44">IF(AN44&lt;&gt;"", ToRemark(AN44), "")</f>
        <v/>
      </c>
      <c r="AR44" s="60"/>
      <c r="AS44" s="57" t="str">
        <f>IFERROR(ROUND(COMPUTING!H46,0), "")</f>
        <v/>
      </c>
      <c r="AT44" s="57" t="str">
        <f>IFERROR(ROUND(COMPUTING!J46,0), "")</f>
        <v/>
      </c>
      <c r="AU44" s="56" t="str">
        <f t="shared" si="13"/>
        <v/>
      </c>
      <c r="AV44" s="57" t="str" cm="1">
        <f t="array" ref="AV44">IF(AU44&lt;&gt;"", ToGrade(AU44), "")</f>
        <v/>
      </c>
      <c r="AW44" s="58" t="str">
        <f>COMPUTING!L46</f>
        <v/>
      </c>
      <c r="AX44" s="59" t="str" cm="1">
        <f t="array" ref="AX44">IF(AU44&lt;&gt;"", ToRemark(AU44), "")</f>
        <v/>
      </c>
      <c r="AY44" s="62"/>
      <c r="AZ44" s="57" t="str">
        <f>IFERROR(ROUND(HISTERY!H46,0), "")</f>
        <v/>
      </c>
      <c r="BA44" s="57" t="str">
        <f>IFERROR(ROUND(HISTERY!J46,0), "")</f>
        <v/>
      </c>
      <c r="BB44" s="56" t="str">
        <f t="shared" si="14"/>
        <v/>
      </c>
      <c r="BC44" s="57" t="str" cm="1">
        <f t="array" ref="BC44">IF(BB44&lt;&gt;"", ToGrade(BB44), "")</f>
        <v/>
      </c>
      <c r="BD44" s="58" t="str">
        <f>HISTERY!L46</f>
        <v/>
      </c>
      <c r="BE44" s="59" t="str" cm="1">
        <f t="array" ref="BE44">IF(BB44&lt;&gt;"", ToRemark(BB44), "")</f>
        <v/>
      </c>
      <c r="BF44" s="60"/>
      <c r="BG44" s="57" t="str">
        <f>IFERROR(ROUND(RME!H46,0), "")</f>
        <v/>
      </c>
      <c r="BH44" s="57" t="str">
        <f>IFERROR(ROUND(RME!J46,0), "")</f>
        <v/>
      </c>
      <c r="BI44" s="56" t="str">
        <f t="shared" si="15"/>
        <v/>
      </c>
      <c r="BJ44" s="57" t="str" cm="1">
        <f t="array" ref="BJ44">IF(BI44&lt;&gt;"", ToGrade(BI44), "")</f>
        <v/>
      </c>
      <c r="BK44" s="58" t="str">
        <f>RME!L46</f>
        <v/>
      </c>
      <c r="BL44" s="59" t="str" cm="1">
        <f t="array" ref="BL44">IF(BI44&lt;&gt;"", ToRemark(BI44), "")</f>
        <v/>
      </c>
      <c r="BM44" s="74"/>
      <c r="BN44" s="97" t="str">
        <f t="shared" si="16"/>
        <v/>
      </c>
      <c r="BO44" s="106" t="str">
        <f t="shared" si="17"/>
        <v/>
      </c>
      <c r="BP44" s="98" t="str" cm="1">
        <f t="array" ref="BP44">IFERROR(OrdinalNumber(_xlfn.RANK.EQ(BN44,$BN$3:$BN$101)), "")</f>
        <v/>
      </c>
      <c r="BQ44" s="104"/>
      <c r="BR44" s="99"/>
      <c r="BS44" s="111"/>
      <c r="BT44" s="83" t="str" cm="1">
        <f t="array" ref="BT44">IF(LEN(B44)&lt;&gt;0, GetTeacherRemark(BO44), "")</f>
        <v/>
      </c>
      <c r="BU44" s="86" t="str">
        <f t="shared" si="18"/>
        <v/>
      </c>
      <c r="BV44" s="86" t="str">
        <f t="shared" si="19"/>
        <v/>
      </c>
      <c r="BW44" s="86" t="str">
        <f t="shared" si="20"/>
        <v/>
      </c>
      <c r="BX44" s="86" t="str">
        <f t="shared" si="21"/>
        <v/>
      </c>
      <c r="BY44" s="115" t="str">
        <f t="shared" si="22"/>
        <v/>
      </c>
      <c r="BZ44" s="87" t="str">
        <f t="shared" si="23"/>
        <v/>
      </c>
      <c r="CA44" s="86" t="str">
        <f t="shared" si="24"/>
        <v/>
      </c>
      <c r="CB44" s="85"/>
    </row>
    <row r="45" spans="1:80" x14ac:dyDescent="0.25">
      <c r="A45" s="53" t="str">
        <v>43</v>
      </c>
      <c r="B45" s="54" t="str">
        <v/>
      </c>
      <c r="C45" s="55" t="str">
        <f>IFERROR(ROUND(ENGLISH!H47,0), "")</f>
        <v/>
      </c>
      <c r="D45" s="55" t="str">
        <f>IFERROR(ROUND(ENGLISH!J47,0), "")</f>
        <v/>
      </c>
      <c r="E45" s="56" t="str">
        <f t="shared" si="7"/>
        <v/>
      </c>
      <c r="F45" s="57" t="str" cm="1">
        <f t="array" ref="F45">IF(E45&lt;&gt;"", ToGrade(E45), "")</f>
        <v/>
      </c>
      <c r="G45" s="58" t="str">
        <f>ENGLISH!L47</f>
        <v/>
      </c>
      <c r="H45" s="59" t="str" cm="1">
        <f t="array" ref="H45">IF(E45&lt;&gt;"", ToRemark(E45), "")</f>
        <v/>
      </c>
      <c r="I45" s="60"/>
      <c r="J45" s="55" t="str">
        <f>IFERROR(ROUND(MATHS!H47,0), "")</f>
        <v/>
      </c>
      <c r="K45" s="55" t="str">
        <f>IFERROR(ROUND(MATHS!J47,0), "")</f>
        <v/>
      </c>
      <c r="L45" s="56" t="str">
        <f t="shared" si="8"/>
        <v/>
      </c>
      <c r="M45" s="57" t="str" cm="1">
        <f t="array" ref="M45">IF(L45&lt;&gt;"", ToGrade(L45), "")</f>
        <v/>
      </c>
      <c r="N45" s="58" t="str">
        <f>MATHS!L47</f>
        <v/>
      </c>
      <c r="O45" s="59" t="str" cm="1">
        <f t="array" ref="O45">IF(L45&lt;&gt;"", ToRemark(L45), "")</f>
        <v/>
      </c>
      <c r="P45" s="60"/>
      <c r="Q45" s="57" t="str">
        <f>IFERROR(ROUND(SCIENCE!H47,0), "")</f>
        <v/>
      </c>
      <c r="R45" s="57" t="str">
        <f>IFERROR(ROUND(SCIENCE!J47,0), "")</f>
        <v/>
      </c>
      <c r="S45" s="56" t="str">
        <f t="shared" si="9"/>
        <v/>
      </c>
      <c r="T45" s="57" t="str" cm="1">
        <f t="array" ref="T45">IF(S45&lt;&gt;"", ToGrade(S45), "")</f>
        <v/>
      </c>
      <c r="U45" s="58" t="str">
        <f>SCIENCE!L47</f>
        <v/>
      </c>
      <c r="V45" s="59" t="str" cm="1">
        <f t="array" ref="V45">IF(S45&lt;&gt;"", ToRemark(S45), "")</f>
        <v/>
      </c>
      <c r="W45" s="60"/>
      <c r="X45" s="57" t="str">
        <f>IFERROR(ROUND(OWOP!H47,0), "")</f>
        <v/>
      </c>
      <c r="Y45" s="57" t="str">
        <f>IFERROR(ROUND(OWOP!J47,0), "")</f>
        <v/>
      </c>
      <c r="Z45" s="56" t="str">
        <f t="shared" si="10"/>
        <v/>
      </c>
      <c r="AA45" s="57" t="str" cm="1">
        <f t="array" ref="AA45">IF(Z45&lt;&gt;"", ToGrade(Z45), "")</f>
        <v/>
      </c>
      <c r="AB45" s="58" t="str">
        <f>OWOP!L47</f>
        <v/>
      </c>
      <c r="AC45" s="59" t="str" cm="1">
        <f t="array" ref="AC45">IF(Z45&lt;&gt;"", ToRemark(Z45), "")</f>
        <v/>
      </c>
      <c r="AD45" s="60"/>
      <c r="AE45" s="57" t="str">
        <f>IFERROR(ROUND('C ARTS'!H47,0), "")</f>
        <v/>
      </c>
      <c r="AF45" s="57" t="str">
        <f>IFERROR(ROUND('C ARTS'!J47,0), "")</f>
        <v/>
      </c>
      <c r="AG45" s="56" t="str">
        <f t="shared" si="11"/>
        <v/>
      </c>
      <c r="AH45" s="57" t="str" cm="1">
        <f t="array" ref="AH45">IF(AG45&lt;&gt;"", ToGrade(AG45), "")</f>
        <v/>
      </c>
      <c r="AI45" s="58" t="str">
        <f>'C ARTS'!L47</f>
        <v/>
      </c>
      <c r="AJ45" s="59" t="str" cm="1">
        <f t="array" ref="AJ45">IF(AG45&lt;&gt;"", ToRemark(AG45), "")</f>
        <v/>
      </c>
      <c r="AK45" s="60"/>
      <c r="AL45" s="57" t="str">
        <f>IFERROR(ROUND('GH LANG'!H47,0), "")</f>
        <v/>
      </c>
      <c r="AM45" s="57" t="str">
        <f>IFERROR(ROUND('GH LANG'!J47,0), "")</f>
        <v/>
      </c>
      <c r="AN45" s="61" t="str">
        <f t="shared" si="12"/>
        <v/>
      </c>
      <c r="AO45" s="57" t="str" cm="1">
        <f t="array" ref="AO45">IF(AN45&lt;&gt;"", ToGrade(AN45), "")</f>
        <v/>
      </c>
      <c r="AP45" s="58" t="str">
        <f>'GH LANG'!L47</f>
        <v/>
      </c>
      <c r="AQ45" s="59" t="str" cm="1">
        <f t="array" ref="AQ45">IF(AN45&lt;&gt;"", ToRemark(AN45), "")</f>
        <v/>
      </c>
      <c r="AR45" s="60"/>
      <c r="AS45" s="57" t="str">
        <f>IFERROR(ROUND(COMPUTING!H47,0), "")</f>
        <v/>
      </c>
      <c r="AT45" s="57" t="str">
        <f>IFERROR(ROUND(COMPUTING!J47,0), "")</f>
        <v/>
      </c>
      <c r="AU45" s="56" t="str">
        <f t="shared" si="13"/>
        <v/>
      </c>
      <c r="AV45" s="57" t="str" cm="1">
        <f t="array" ref="AV45">IF(AU45&lt;&gt;"", ToGrade(AU45), "")</f>
        <v/>
      </c>
      <c r="AW45" s="58" t="str">
        <f>COMPUTING!L47</f>
        <v/>
      </c>
      <c r="AX45" s="59" t="str" cm="1">
        <f t="array" ref="AX45">IF(AU45&lt;&gt;"", ToRemark(AU45), "")</f>
        <v/>
      </c>
      <c r="AY45" s="62"/>
      <c r="AZ45" s="57" t="str">
        <f>IFERROR(ROUND(HISTERY!H47,0), "")</f>
        <v/>
      </c>
      <c r="BA45" s="57" t="str">
        <f>IFERROR(ROUND(HISTERY!J47,0), "")</f>
        <v/>
      </c>
      <c r="BB45" s="56" t="str">
        <f t="shared" si="14"/>
        <v/>
      </c>
      <c r="BC45" s="57" t="str" cm="1">
        <f t="array" ref="BC45">IF(BB45&lt;&gt;"", ToGrade(BB45), "")</f>
        <v/>
      </c>
      <c r="BD45" s="58" t="str">
        <f>HISTERY!L47</f>
        <v/>
      </c>
      <c r="BE45" s="59" t="str" cm="1">
        <f t="array" ref="BE45">IF(BB45&lt;&gt;"", ToRemark(BB45), "")</f>
        <v/>
      </c>
      <c r="BF45" s="60"/>
      <c r="BG45" s="57" t="str">
        <f>IFERROR(ROUND(RME!H47,0), "")</f>
        <v/>
      </c>
      <c r="BH45" s="57" t="str">
        <f>IFERROR(ROUND(RME!J47,0), "")</f>
        <v/>
      </c>
      <c r="BI45" s="56" t="str">
        <f t="shared" si="15"/>
        <v/>
      </c>
      <c r="BJ45" s="57" t="str" cm="1">
        <f t="array" ref="BJ45">IF(BI45&lt;&gt;"", ToGrade(BI45), "")</f>
        <v/>
      </c>
      <c r="BK45" s="58" t="str">
        <f>RME!L47</f>
        <v/>
      </c>
      <c r="BL45" s="59" t="str" cm="1">
        <f t="array" ref="BL45">IF(BI45&lt;&gt;"", ToRemark(BI45), "")</f>
        <v/>
      </c>
      <c r="BM45" s="74"/>
      <c r="BN45" s="97" t="str">
        <f t="shared" si="16"/>
        <v/>
      </c>
      <c r="BO45" s="106" t="str">
        <f t="shared" si="17"/>
        <v/>
      </c>
      <c r="BP45" s="98" t="str" cm="1">
        <f t="array" ref="BP45">IFERROR(OrdinalNumber(_xlfn.RANK.EQ(BN45,$BN$3:$BN$101)), "")</f>
        <v/>
      </c>
      <c r="BQ45" s="104"/>
      <c r="BR45" s="99"/>
      <c r="BS45" s="111"/>
      <c r="BT45" s="83" t="str" cm="1">
        <f t="array" ref="BT45">IF(LEN(B45)&lt;&gt;0, GetTeacherRemark(BO45), "")</f>
        <v/>
      </c>
      <c r="BU45" s="86" t="str">
        <f t="shared" si="18"/>
        <v/>
      </c>
      <c r="BV45" s="86" t="str">
        <f t="shared" si="19"/>
        <v/>
      </c>
      <c r="BW45" s="86" t="str">
        <f t="shared" si="20"/>
        <v/>
      </c>
      <c r="BX45" s="86" t="str">
        <f t="shared" si="21"/>
        <v/>
      </c>
      <c r="BY45" s="115" t="str">
        <f t="shared" si="22"/>
        <v/>
      </c>
      <c r="BZ45" s="87" t="str">
        <f t="shared" si="23"/>
        <v/>
      </c>
      <c r="CA45" s="86" t="str">
        <f t="shared" si="24"/>
        <v/>
      </c>
      <c r="CB45" s="85"/>
    </row>
    <row r="46" spans="1:80" x14ac:dyDescent="0.25">
      <c r="A46" s="53" t="str">
        <v>44</v>
      </c>
      <c r="B46" s="54" t="str">
        <v/>
      </c>
      <c r="C46" s="55" t="str">
        <f>IFERROR(ROUND(ENGLISH!H48,0), "")</f>
        <v/>
      </c>
      <c r="D46" s="55" t="str">
        <f>IFERROR(ROUND(ENGLISH!J48,0), "")</f>
        <v/>
      </c>
      <c r="E46" s="56" t="str">
        <f t="shared" si="7"/>
        <v/>
      </c>
      <c r="F46" s="57" t="str" cm="1">
        <f t="array" ref="F46">IF(E46&lt;&gt;"", ToGrade(E46), "")</f>
        <v/>
      </c>
      <c r="G46" s="58" t="str">
        <f>ENGLISH!L48</f>
        <v/>
      </c>
      <c r="H46" s="59" t="str" cm="1">
        <f t="array" ref="H46">IF(E46&lt;&gt;"", ToRemark(E46), "")</f>
        <v/>
      </c>
      <c r="I46" s="60"/>
      <c r="J46" s="55" t="str">
        <f>IFERROR(ROUND(MATHS!H48,0), "")</f>
        <v/>
      </c>
      <c r="K46" s="55" t="str">
        <f>IFERROR(ROUND(MATHS!J48,0), "")</f>
        <v/>
      </c>
      <c r="L46" s="56" t="str">
        <f t="shared" si="8"/>
        <v/>
      </c>
      <c r="M46" s="57" t="str" cm="1">
        <f t="array" ref="M46">IF(L46&lt;&gt;"", ToGrade(L46), "")</f>
        <v/>
      </c>
      <c r="N46" s="58" t="str">
        <f>MATHS!L48</f>
        <v/>
      </c>
      <c r="O46" s="59" t="str" cm="1">
        <f t="array" ref="O46">IF(L46&lt;&gt;"", ToRemark(L46), "")</f>
        <v/>
      </c>
      <c r="P46" s="60"/>
      <c r="Q46" s="57" t="str">
        <f>IFERROR(ROUND(SCIENCE!H48,0), "")</f>
        <v/>
      </c>
      <c r="R46" s="57" t="str">
        <f>IFERROR(ROUND(SCIENCE!J48,0), "")</f>
        <v/>
      </c>
      <c r="S46" s="56" t="str">
        <f t="shared" si="9"/>
        <v/>
      </c>
      <c r="T46" s="57" t="str" cm="1">
        <f t="array" ref="T46">IF(S46&lt;&gt;"", ToGrade(S46), "")</f>
        <v/>
      </c>
      <c r="U46" s="58" t="str">
        <f>SCIENCE!L48</f>
        <v/>
      </c>
      <c r="V46" s="59" t="str" cm="1">
        <f t="array" ref="V46">IF(S46&lt;&gt;"", ToRemark(S46), "")</f>
        <v/>
      </c>
      <c r="W46" s="60"/>
      <c r="X46" s="57" t="str">
        <f>IFERROR(ROUND(OWOP!H48,0), "")</f>
        <v/>
      </c>
      <c r="Y46" s="57" t="str">
        <f>IFERROR(ROUND(OWOP!J48,0), "")</f>
        <v/>
      </c>
      <c r="Z46" s="56" t="str">
        <f t="shared" si="10"/>
        <v/>
      </c>
      <c r="AA46" s="57" t="str" cm="1">
        <f t="array" ref="AA46">IF(Z46&lt;&gt;"", ToGrade(Z46), "")</f>
        <v/>
      </c>
      <c r="AB46" s="58" t="str">
        <f>OWOP!L48</f>
        <v/>
      </c>
      <c r="AC46" s="59" t="str" cm="1">
        <f t="array" ref="AC46">IF(Z46&lt;&gt;"", ToRemark(Z46), "")</f>
        <v/>
      </c>
      <c r="AD46" s="60"/>
      <c r="AE46" s="57" t="str">
        <f>IFERROR(ROUND('C ARTS'!H48,0), "")</f>
        <v/>
      </c>
      <c r="AF46" s="57" t="str">
        <f>IFERROR(ROUND('C ARTS'!J48,0), "")</f>
        <v/>
      </c>
      <c r="AG46" s="56" t="str">
        <f t="shared" si="11"/>
        <v/>
      </c>
      <c r="AH46" s="57" t="str" cm="1">
        <f t="array" ref="AH46">IF(AG46&lt;&gt;"", ToGrade(AG46), "")</f>
        <v/>
      </c>
      <c r="AI46" s="58" t="str">
        <f>'C ARTS'!L48</f>
        <v/>
      </c>
      <c r="AJ46" s="59" t="str" cm="1">
        <f t="array" ref="AJ46">IF(AG46&lt;&gt;"", ToRemark(AG46), "")</f>
        <v/>
      </c>
      <c r="AK46" s="60"/>
      <c r="AL46" s="57" t="str">
        <f>IFERROR(ROUND('GH LANG'!H48,0), "")</f>
        <v/>
      </c>
      <c r="AM46" s="57" t="str">
        <f>IFERROR(ROUND('GH LANG'!J48,0), "")</f>
        <v/>
      </c>
      <c r="AN46" s="61" t="str">
        <f t="shared" si="12"/>
        <v/>
      </c>
      <c r="AO46" s="57" t="str" cm="1">
        <f t="array" ref="AO46">IF(AN46&lt;&gt;"", ToGrade(AN46), "")</f>
        <v/>
      </c>
      <c r="AP46" s="58" t="str">
        <f>'GH LANG'!L48</f>
        <v/>
      </c>
      <c r="AQ46" s="59" t="str" cm="1">
        <f t="array" ref="AQ46">IF(AN46&lt;&gt;"", ToRemark(AN46), "")</f>
        <v/>
      </c>
      <c r="AR46" s="60"/>
      <c r="AS46" s="57" t="str">
        <f>IFERROR(ROUND(COMPUTING!H48,0), "")</f>
        <v/>
      </c>
      <c r="AT46" s="57" t="str">
        <f>IFERROR(ROUND(COMPUTING!J48,0), "")</f>
        <v/>
      </c>
      <c r="AU46" s="56" t="str">
        <f t="shared" si="13"/>
        <v/>
      </c>
      <c r="AV46" s="57" t="str" cm="1">
        <f t="array" ref="AV46">IF(AU46&lt;&gt;"", ToGrade(AU46), "")</f>
        <v/>
      </c>
      <c r="AW46" s="58" t="str">
        <f>COMPUTING!L48</f>
        <v/>
      </c>
      <c r="AX46" s="59" t="str" cm="1">
        <f t="array" ref="AX46">IF(AU46&lt;&gt;"", ToRemark(AU46), "")</f>
        <v/>
      </c>
      <c r="AY46" s="62"/>
      <c r="AZ46" s="57" t="str">
        <f>IFERROR(ROUND(HISTERY!H48,0), "")</f>
        <v/>
      </c>
      <c r="BA46" s="57" t="str">
        <f>IFERROR(ROUND(HISTERY!J48,0), "")</f>
        <v/>
      </c>
      <c r="BB46" s="56" t="str">
        <f t="shared" si="14"/>
        <v/>
      </c>
      <c r="BC46" s="57" t="str" cm="1">
        <f t="array" ref="BC46">IF(BB46&lt;&gt;"", ToGrade(BB46), "")</f>
        <v/>
      </c>
      <c r="BD46" s="58" t="str">
        <f>HISTERY!L48</f>
        <v/>
      </c>
      <c r="BE46" s="59" t="str" cm="1">
        <f t="array" ref="BE46">IF(BB46&lt;&gt;"", ToRemark(BB46), "")</f>
        <v/>
      </c>
      <c r="BF46" s="60"/>
      <c r="BG46" s="57" t="str">
        <f>IFERROR(ROUND(RME!H48,0), "")</f>
        <v/>
      </c>
      <c r="BH46" s="57" t="str">
        <f>IFERROR(ROUND(RME!J48,0), "")</f>
        <v/>
      </c>
      <c r="BI46" s="56" t="str">
        <f t="shared" si="15"/>
        <v/>
      </c>
      <c r="BJ46" s="57" t="str" cm="1">
        <f t="array" ref="BJ46">IF(BI46&lt;&gt;"", ToGrade(BI46), "")</f>
        <v/>
      </c>
      <c r="BK46" s="58" t="str">
        <f>RME!L48</f>
        <v/>
      </c>
      <c r="BL46" s="59" t="str" cm="1">
        <f t="array" ref="BL46">IF(BI46&lt;&gt;"", ToRemark(BI46), "")</f>
        <v/>
      </c>
      <c r="BM46" s="74"/>
      <c r="BN46" s="97" t="str">
        <f t="shared" si="16"/>
        <v/>
      </c>
      <c r="BO46" s="106" t="str">
        <f t="shared" si="17"/>
        <v/>
      </c>
      <c r="BP46" s="98" t="str" cm="1">
        <f t="array" ref="BP46">IFERROR(OrdinalNumber(_xlfn.RANK.EQ(BN46,$BN$3:$BN$101)), "")</f>
        <v/>
      </c>
      <c r="BQ46" s="104"/>
      <c r="BR46" s="99"/>
      <c r="BS46" s="111"/>
      <c r="BT46" s="83" t="str" cm="1">
        <f t="array" ref="BT46">IF(LEN(B46)&lt;&gt;0, GetTeacherRemark(BO46), "")</f>
        <v/>
      </c>
      <c r="BU46" s="86" t="str">
        <f t="shared" si="18"/>
        <v/>
      </c>
      <c r="BV46" s="86" t="str">
        <f t="shared" si="19"/>
        <v/>
      </c>
      <c r="BW46" s="86" t="str">
        <f t="shared" si="20"/>
        <v/>
      </c>
      <c r="BX46" s="86" t="str">
        <f t="shared" si="21"/>
        <v/>
      </c>
      <c r="BY46" s="115" t="str">
        <f t="shared" si="22"/>
        <v/>
      </c>
      <c r="BZ46" s="87" t="str">
        <f t="shared" si="23"/>
        <v/>
      </c>
      <c r="CA46" s="86" t="str">
        <f t="shared" si="24"/>
        <v/>
      </c>
      <c r="CB46" s="85"/>
    </row>
    <row r="47" spans="1:80" x14ac:dyDescent="0.25">
      <c r="A47" s="53" t="str">
        <v>45</v>
      </c>
      <c r="B47" s="54" t="str">
        <v/>
      </c>
      <c r="C47" s="55" t="str">
        <f>IFERROR(ROUND(ENGLISH!H49,0), "")</f>
        <v/>
      </c>
      <c r="D47" s="55" t="str">
        <f>IFERROR(ROUND(ENGLISH!J49,0), "")</f>
        <v/>
      </c>
      <c r="E47" s="56" t="str">
        <f t="shared" si="7"/>
        <v/>
      </c>
      <c r="F47" s="57" t="str" cm="1">
        <f t="array" ref="F47">IF(E47&lt;&gt;"", ToGrade(E47), "")</f>
        <v/>
      </c>
      <c r="G47" s="58" t="str">
        <f>ENGLISH!L49</f>
        <v/>
      </c>
      <c r="H47" s="59" t="str" cm="1">
        <f t="array" ref="H47">IF(E47&lt;&gt;"", ToRemark(E47), "")</f>
        <v/>
      </c>
      <c r="I47" s="60"/>
      <c r="J47" s="55" t="str">
        <f>IFERROR(ROUND(MATHS!H49,0), "")</f>
        <v/>
      </c>
      <c r="K47" s="55" t="str">
        <f>IFERROR(ROUND(MATHS!J49,0), "")</f>
        <v/>
      </c>
      <c r="L47" s="56" t="str">
        <f t="shared" si="8"/>
        <v/>
      </c>
      <c r="M47" s="57" t="str" cm="1">
        <f t="array" ref="M47">IF(L47&lt;&gt;"", ToGrade(L47), "")</f>
        <v/>
      </c>
      <c r="N47" s="58" t="str">
        <f>MATHS!L49</f>
        <v/>
      </c>
      <c r="O47" s="59" t="str" cm="1">
        <f t="array" ref="O47">IF(L47&lt;&gt;"", ToRemark(L47), "")</f>
        <v/>
      </c>
      <c r="P47" s="60"/>
      <c r="Q47" s="57" t="str">
        <f>IFERROR(ROUND(SCIENCE!H49,0), "")</f>
        <v/>
      </c>
      <c r="R47" s="57" t="str">
        <f>IFERROR(ROUND(SCIENCE!J49,0), "")</f>
        <v/>
      </c>
      <c r="S47" s="56" t="str">
        <f t="shared" si="9"/>
        <v/>
      </c>
      <c r="T47" s="57" t="str" cm="1">
        <f t="array" ref="T47">IF(S47&lt;&gt;"", ToGrade(S47), "")</f>
        <v/>
      </c>
      <c r="U47" s="58" t="str">
        <f>SCIENCE!L49</f>
        <v/>
      </c>
      <c r="V47" s="59" t="str" cm="1">
        <f t="array" ref="V47">IF(S47&lt;&gt;"", ToRemark(S47), "")</f>
        <v/>
      </c>
      <c r="W47" s="60"/>
      <c r="X47" s="57" t="str">
        <f>IFERROR(ROUND(OWOP!H49,0), "")</f>
        <v/>
      </c>
      <c r="Y47" s="57" t="str">
        <f>IFERROR(ROUND(OWOP!J49,0), "")</f>
        <v/>
      </c>
      <c r="Z47" s="56" t="str">
        <f t="shared" si="10"/>
        <v/>
      </c>
      <c r="AA47" s="57" t="str" cm="1">
        <f t="array" ref="AA47">IF(Z47&lt;&gt;"", ToGrade(Z47), "")</f>
        <v/>
      </c>
      <c r="AB47" s="58" t="str">
        <f>OWOP!L49</f>
        <v/>
      </c>
      <c r="AC47" s="59" t="str" cm="1">
        <f t="array" ref="AC47">IF(Z47&lt;&gt;"", ToRemark(Z47), "")</f>
        <v/>
      </c>
      <c r="AD47" s="60"/>
      <c r="AE47" s="57" t="str">
        <f>IFERROR(ROUND('C ARTS'!H49,0), "")</f>
        <v/>
      </c>
      <c r="AF47" s="57" t="str">
        <f>IFERROR(ROUND('C ARTS'!J49,0), "")</f>
        <v/>
      </c>
      <c r="AG47" s="56" t="str">
        <f t="shared" si="11"/>
        <v/>
      </c>
      <c r="AH47" s="57" t="str" cm="1">
        <f t="array" ref="AH47">IF(AG47&lt;&gt;"", ToGrade(AG47), "")</f>
        <v/>
      </c>
      <c r="AI47" s="58" t="str">
        <f>'C ARTS'!L49</f>
        <v/>
      </c>
      <c r="AJ47" s="59" t="str" cm="1">
        <f t="array" ref="AJ47">IF(AG47&lt;&gt;"", ToRemark(AG47), "")</f>
        <v/>
      </c>
      <c r="AK47" s="60"/>
      <c r="AL47" s="57" t="str">
        <f>IFERROR(ROUND('GH LANG'!H49,0), "")</f>
        <v/>
      </c>
      <c r="AM47" s="57" t="str">
        <f>IFERROR(ROUND('GH LANG'!J49,0), "")</f>
        <v/>
      </c>
      <c r="AN47" s="61" t="str">
        <f t="shared" si="12"/>
        <v/>
      </c>
      <c r="AO47" s="57" t="str" cm="1">
        <f t="array" ref="AO47">IF(AN47&lt;&gt;"", ToGrade(AN47), "")</f>
        <v/>
      </c>
      <c r="AP47" s="58" t="str">
        <f>'GH LANG'!L49</f>
        <v/>
      </c>
      <c r="AQ47" s="59" t="str" cm="1">
        <f t="array" ref="AQ47">IF(AN47&lt;&gt;"", ToRemark(AN47), "")</f>
        <v/>
      </c>
      <c r="AR47" s="60"/>
      <c r="AS47" s="57" t="str">
        <f>IFERROR(ROUND(COMPUTING!H49,0), "")</f>
        <v/>
      </c>
      <c r="AT47" s="57" t="str">
        <f>IFERROR(ROUND(COMPUTING!J49,0), "")</f>
        <v/>
      </c>
      <c r="AU47" s="56" t="str">
        <f t="shared" si="13"/>
        <v/>
      </c>
      <c r="AV47" s="57" t="str" cm="1">
        <f t="array" ref="AV47">IF(AU47&lt;&gt;"", ToGrade(AU47), "")</f>
        <v/>
      </c>
      <c r="AW47" s="58" t="str">
        <f>COMPUTING!L49</f>
        <v/>
      </c>
      <c r="AX47" s="59" t="str" cm="1">
        <f t="array" ref="AX47">IF(AU47&lt;&gt;"", ToRemark(AU47), "")</f>
        <v/>
      </c>
      <c r="AY47" s="62"/>
      <c r="AZ47" s="57" t="str">
        <f>IFERROR(ROUND(HISTERY!H49,0), "")</f>
        <v/>
      </c>
      <c r="BA47" s="57" t="str">
        <f>IFERROR(ROUND(HISTERY!J49,0), "")</f>
        <v/>
      </c>
      <c r="BB47" s="56" t="str">
        <f t="shared" si="14"/>
        <v/>
      </c>
      <c r="BC47" s="57" t="str" cm="1">
        <f t="array" ref="BC47">IF(BB47&lt;&gt;"", ToGrade(BB47), "")</f>
        <v/>
      </c>
      <c r="BD47" s="58" t="str">
        <f>HISTERY!L49</f>
        <v/>
      </c>
      <c r="BE47" s="59" t="str" cm="1">
        <f t="array" ref="BE47">IF(BB47&lt;&gt;"", ToRemark(BB47), "")</f>
        <v/>
      </c>
      <c r="BF47" s="60"/>
      <c r="BG47" s="57" t="str">
        <f>IFERROR(ROUND(RME!H49,0), "")</f>
        <v/>
      </c>
      <c r="BH47" s="57" t="str">
        <f>IFERROR(ROUND(RME!J49,0), "")</f>
        <v/>
      </c>
      <c r="BI47" s="56" t="str">
        <f t="shared" si="15"/>
        <v/>
      </c>
      <c r="BJ47" s="57" t="str" cm="1">
        <f t="array" ref="BJ47">IF(BI47&lt;&gt;"", ToGrade(BI47), "")</f>
        <v/>
      </c>
      <c r="BK47" s="58" t="str">
        <f>RME!L49</f>
        <v/>
      </c>
      <c r="BL47" s="59" t="str" cm="1">
        <f t="array" ref="BL47">IF(BI47&lt;&gt;"", ToRemark(BI47), "")</f>
        <v/>
      </c>
      <c r="BM47" s="74"/>
      <c r="BN47" s="97" t="str">
        <f t="shared" si="16"/>
        <v/>
      </c>
      <c r="BO47" s="106" t="str">
        <f t="shared" si="17"/>
        <v/>
      </c>
      <c r="BP47" s="98" t="str" cm="1">
        <f t="array" ref="BP47">IFERROR(OrdinalNumber(_xlfn.RANK.EQ(BN47,$BN$3:$BN$101)), "")</f>
        <v/>
      </c>
      <c r="BQ47" s="104"/>
      <c r="BR47" s="99"/>
      <c r="BS47" s="111"/>
      <c r="BT47" s="83" t="str" cm="1">
        <f t="array" ref="BT47">IF(LEN(B47)&lt;&gt;0, GetTeacherRemark(BO47), "")</f>
        <v/>
      </c>
      <c r="BU47" s="86" t="str">
        <f t="shared" si="18"/>
        <v/>
      </c>
      <c r="BV47" s="86" t="str">
        <f t="shared" si="19"/>
        <v/>
      </c>
      <c r="BW47" s="86" t="str">
        <f t="shared" si="20"/>
        <v/>
      </c>
      <c r="BX47" s="86" t="str">
        <f t="shared" si="21"/>
        <v/>
      </c>
      <c r="BY47" s="115" t="str">
        <f t="shared" si="22"/>
        <v/>
      </c>
      <c r="BZ47" s="87" t="str">
        <f t="shared" si="23"/>
        <v/>
      </c>
      <c r="CA47" s="86" t="str">
        <f t="shared" si="24"/>
        <v/>
      </c>
      <c r="CB47" s="85"/>
    </row>
    <row r="48" spans="1:80" x14ac:dyDescent="0.25">
      <c r="A48" s="53" t="str">
        <v>46</v>
      </c>
      <c r="B48" s="54" t="str">
        <v/>
      </c>
      <c r="C48" s="55" t="str">
        <f>IFERROR(ROUND(ENGLISH!H50,0), "")</f>
        <v/>
      </c>
      <c r="D48" s="55" t="str">
        <f>IFERROR(ROUND(ENGLISH!J50,0), "")</f>
        <v/>
      </c>
      <c r="E48" s="56" t="str">
        <f t="shared" si="7"/>
        <v/>
      </c>
      <c r="F48" s="57" t="str" cm="1">
        <f t="array" ref="F48">IF(E48&lt;&gt;"", ToGrade(E48), "")</f>
        <v/>
      </c>
      <c r="G48" s="58" t="str">
        <f>ENGLISH!L50</f>
        <v/>
      </c>
      <c r="H48" s="59" t="str" cm="1">
        <f t="array" ref="H48">IF(E48&lt;&gt;"", ToRemark(E48), "")</f>
        <v/>
      </c>
      <c r="I48" s="60"/>
      <c r="J48" s="55" t="str">
        <f>IFERROR(ROUND(MATHS!H50,0), "")</f>
        <v/>
      </c>
      <c r="K48" s="55" t="str">
        <f>IFERROR(ROUND(MATHS!J50,0), "")</f>
        <v/>
      </c>
      <c r="L48" s="56" t="str">
        <f t="shared" si="8"/>
        <v/>
      </c>
      <c r="M48" s="57" t="str" cm="1">
        <f t="array" ref="M48">IF(L48&lt;&gt;"", ToGrade(L48), "")</f>
        <v/>
      </c>
      <c r="N48" s="58" t="str">
        <f>MATHS!L50</f>
        <v/>
      </c>
      <c r="O48" s="59" t="str" cm="1">
        <f t="array" ref="O48">IF(L48&lt;&gt;"", ToRemark(L48), "")</f>
        <v/>
      </c>
      <c r="P48" s="60"/>
      <c r="Q48" s="57" t="str">
        <f>IFERROR(ROUND(SCIENCE!H50,0), "")</f>
        <v/>
      </c>
      <c r="R48" s="57" t="str">
        <f>IFERROR(ROUND(SCIENCE!J50,0), "")</f>
        <v/>
      </c>
      <c r="S48" s="56" t="str">
        <f t="shared" si="9"/>
        <v/>
      </c>
      <c r="T48" s="57" t="str" cm="1">
        <f t="array" ref="T48">IF(S48&lt;&gt;"", ToGrade(S48), "")</f>
        <v/>
      </c>
      <c r="U48" s="58" t="str">
        <f>SCIENCE!L50</f>
        <v/>
      </c>
      <c r="V48" s="59" t="str" cm="1">
        <f t="array" ref="V48">IF(S48&lt;&gt;"", ToRemark(S48), "")</f>
        <v/>
      </c>
      <c r="W48" s="60"/>
      <c r="X48" s="57" t="str">
        <f>IFERROR(ROUND(OWOP!H50,0), "")</f>
        <v/>
      </c>
      <c r="Y48" s="57" t="str">
        <f>IFERROR(ROUND(OWOP!J50,0), "")</f>
        <v/>
      </c>
      <c r="Z48" s="56" t="str">
        <f t="shared" si="10"/>
        <v/>
      </c>
      <c r="AA48" s="57" t="str" cm="1">
        <f t="array" ref="AA48">IF(Z48&lt;&gt;"", ToGrade(Z48), "")</f>
        <v/>
      </c>
      <c r="AB48" s="58" t="str">
        <f>OWOP!L50</f>
        <v/>
      </c>
      <c r="AC48" s="59" t="str" cm="1">
        <f t="array" ref="AC48">IF(Z48&lt;&gt;"", ToRemark(Z48), "")</f>
        <v/>
      </c>
      <c r="AD48" s="60"/>
      <c r="AE48" s="57" t="str">
        <f>IFERROR(ROUND('C ARTS'!H50,0), "")</f>
        <v/>
      </c>
      <c r="AF48" s="57" t="str">
        <f>IFERROR(ROUND('C ARTS'!J50,0), "")</f>
        <v/>
      </c>
      <c r="AG48" s="56" t="str">
        <f t="shared" si="11"/>
        <v/>
      </c>
      <c r="AH48" s="57" t="str" cm="1">
        <f t="array" ref="AH48">IF(AG48&lt;&gt;"", ToGrade(AG48), "")</f>
        <v/>
      </c>
      <c r="AI48" s="58" t="str">
        <f>'C ARTS'!L50</f>
        <v/>
      </c>
      <c r="AJ48" s="59" t="str" cm="1">
        <f t="array" ref="AJ48">IF(AG48&lt;&gt;"", ToRemark(AG48), "")</f>
        <v/>
      </c>
      <c r="AK48" s="60"/>
      <c r="AL48" s="57" t="str">
        <f>IFERROR(ROUND('GH LANG'!H50,0), "")</f>
        <v/>
      </c>
      <c r="AM48" s="57" t="str">
        <f>IFERROR(ROUND('GH LANG'!J50,0), "")</f>
        <v/>
      </c>
      <c r="AN48" s="61" t="str">
        <f t="shared" si="12"/>
        <v/>
      </c>
      <c r="AO48" s="57" t="str" cm="1">
        <f t="array" ref="AO48">IF(AN48&lt;&gt;"", ToGrade(AN48), "")</f>
        <v/>
      </c>
      <c r="AP48" s="58" t="str">
        <f>'GH LANG'!L50</f>
        <v/>
      </c>
      <c r="AQ48" s="59" t="str" cm="1">
        <f t="array" ref="AQ48">IF(AN48&lt;&gt;"", ToRemark(AN48), "")</f>
        <v/>
      </c>
      <c r="AR48" s="60"/>
      <c r="AS48" s="57" t="str">
        <f>IFERROR(ROUND(COMPUTING!H50,0), "")</f>
        <v/>
      </c>
      <c r="AT48" s="57" t="str">
        <f>IFERROR(ROUND(COMPUTING!J50,0), "")</f>
        <v/>
      </c>
      <c r="AU48" s="56" t="str">
        <f t="shared" si="13"/>
        <v/>
      </c>
      <c r="AV48" s="57" t="str" cm="1">
        <f t="array" ref="AV48">IF(AU48&lt;&gt;"", ToGrade(AU48), "")</f>
        <v/>
      </c>
      <c r="AW48" s="58" t="str">
        <f>COMPUTING!L50</f>
        <v/>
      </c>
      <c r="AX48" s="59" t="str" cm="1">
        <f t="array" ref="AX48">IF(AU48&lt;&gt;"", ToRemark(AU48), "")</f>
        <v/>
      </c>
      <c r="AY48" s="62"/>
      <c r="AZ48" s="57" t="str">
        <f>IFERROR(ROUND(HISTERY!H50,0), "")</f>
        <v/>
      </c>
      <c r="BA48" s="57" t="str">
        <f>IFERROR(ROUND(HISTERY!J50,0), "")</f>
        <v/>
      </c>
      <c r="BB48" s="56" t="str">
        <f t="shared" si="14"/>
        <v/>
      </c>
      <c r="BC48" s="57" t="str" cm="1">
        <f t="array" ref="BC48">IF(BB48&lt;&gt;"", ToGrade(BB48), "")</f>
        <v/>
      </c>
      <c r="BD48" s="58" t="str">
        <f>HISTERY!L50</f>
        <v/>
      </c>
      <c r="BE48" s="59" t="str" cm="1">
        <f t="array" ref="BE48">IF(BB48&lt;&gt;"", ToRemark(BB48), "")</f>
        <v/>
      </c>
      <c r="BF48" s="60"/>
      <c r="BG48" s="57" t="str">
        <f>IFERROR(ROUND(RME!H50,0), "")</f>
        <v/>
      </c>
      <c r="BH48" s="57" t="str">
        <f>IFERROR(ROUND(RME!J50,0), "")</f>
        <v/>
      </c>
      <c r="BI48" s="56" t="str">
        <f t="shared" si="15"/>
        <v/>
      </c>
      <c r="BJ48" s="57" t="str" cm="1">
        <f t="array" ref="BJ48">IF(BI48&lt;&gt;"", ToGrade(BI48), "")</f>
        <v/>
      </c>
      <c r="BK48" s="58" t="str">
        <f>RME!L50</f>
        <v/>
      </c>
      <c r="BL48" s="59" t="str" cm="1">
        <f t="array" ref="BL48">IF(BI48&lt;&gt;"", ToRemark(BI48), "")</f>
        <v/>
      </c>
      <c r="BM48" s="74"/>
      <c r="BN48" s="97" t="str">
        <f t="shared" si="16"/>
        <v/>
      </c>
      <c r="BO48" s="106" t="str">
        <f t="shared" si="17"/>
        <v/>
      </c>
      <c r="BP48" s="98" t="str" cm="1">
        <f t="array" ref="BP48">IFERROR(OrdinalNumber(_xlfn.RANK.EQ(BN48,$BN$3:$BN$101)), "")</f>
        <v/>
      </c>
      <c r="BQ48" s="104"/>
      <c r="BR48" s="99"/>
      <c r="BS48" s="111"/>
      <c r="BT48" s="83" t="str" cm="1">
        <f t="array" ref="BT48">IF(LEN(B48)&lt;&gt;0, GetTeacherRemark(BO48), "")</f>
        <v/>
      </c>
      <c r="BU48" s="86" t="str">
        <f t="shared" si="18"/>
        <v/>
      </c>
      <c r="BV48" s="86" t="str">
        <f t="shared" si="19"/>
        <v/>
      </c>
      <c r="BW48" s="86" t="str">
        <f t="shared" si="20"/>
        <v/>
      </c>
      <c r="BX48" s="86" t="str">
        <f t="shared" si="21"/>
        <v/>
      </c>
      <c r="BY48" s="115" t="str">
        <f t="shared" si="22"/>
        <v/>
      </c>
      <c r="BZ48" s="87" t="str">
        <f t="shared" si="23"/>
        <v/>
      </c>
      <c r="CA48" s="86" t="str">
        <f t="shared" si="24"/>
        <v/>
      </c>
      <c r="CB48" s="85"/>
    </row>
    <row r="49" spans="1:80" x14ac:dyDescent="0.25">
      <c r="A49" s="53" t="str">
        <v>47</v>
      </c>
      <c r="B49" s="54" t="str">
        <v/>
      </c>
      <c r="C49" s="55" t="str">
        <f>IFERROR(ROUND(ENGLISH!H51,0), "")</f>
        <v/>
      </c>
      <c r="D49" s="55" t="str">
        <f>IFERROR(ROUND(ENGLISH!J51,0), "")</f>
        <v/>
      </c>
      <c r="E49" s="56" t="str">
        <f t="shared" si="7"/>
        <v/>
      </c>
      <c r="F49" s="57" t="str" cm="1">
        <f t="array" ref="F49">IF(E49&lt;&gt;"", ToGrade(E49), "")</f>
        <v/>
      </c>
      <c r="G49" s="58" t="str">
        <f>ENGLISH!L51</f>
        <v/>
      </c>
      <c r="H49" s="59" t="str" cm="1">
        <f t="array" ref="H49">IF(E49&lt;&gt;"", ToRemark(E49), "")</f>
        <v/>
      </c>
      <c r="I49" s="60"/>
      <c r="J49" s="55" t="str">
        <f>IFERROR(ROUND(MATHS!H51,0), "")</f>
        <v/>
      </c>
      <c r="K49" s="55" t="str">
        <f>IFERROR(ROUND(MATHS!J51,0), "")</f>
        <v/>
      </c>
      <c r="L49" s="56" t="str">
        <f t="shared" si="8"/>
        <v/>
      </c>
      <c r="M49" s="57" t="str" cm="1">
        <f t="array" ref="M49">IF(L49&lt;&gt;"", ToGrade(L49), "")</f>
        <v/>
      </c>
      <c r="N49" s="58" t="str">
        <f>MATHS!L51</f>
        <v/>
      </c>
      <c r="O49" s="59" t="str" cm="1">
        <f t="array" ref="O49">IF(L49&lt;&gt;"", ToRemark(L49), "")</f>
        <v/>
      </c>
      <c r="P49" s="60"/>
      <c r="Q49" s="57" t="str">
        <f>IFERROR(ROUND(SCIENCE!H51,0), "")</f>
        <v/>
      </c>
      <c r="R49" s="57" t="str">
        <f>IFERROR(ROUND(SCIENCE!J51,0), "")</f>
        <v/>
      </c>
      <c r="S49" s="56" t="str">
        <f t="shared" si="9"/>
        <v/>
      </c>
      <c r="T49" s="57" t="str" cm="1">
        <f t="array" ref="T49">IF(S49&lt;&gt;"", ToGrade(S49), "")</f>
        <v/>
      </c>
      <c r="U49" s="58" t="str">
        <f>SCIENCE!L51</f>
        <v/>
      </c>
      <c r="V49" s="59" t="str" cm="1">
        <f t="array" ref="V49">IF(S49&lt;&gt;"", ToRemark(S49), "")</f>
        <v/>
      </c>
      <c r="W49" s="60"/>
      <c r="X49" s="57" t="str">
        <f>IFERROR(ROUND(OWOP!H51,0), "")</f>
        <v/>
      </c>
      <c r="Y49" s="57" t="str">
        <f>IFERROR(ROUND(OWOP!J51,0), "")</f>
        <v/>
      </c>
      <c r="Z49" s="56" t="str">
        <f t="shared" si="10"/>
        <v/>
      </c>
      <c r="AA49" s="57" t="str" cm="1">
        <f t="array" ref="AA49">IF(Z49&lt;&gt;"", ToGrade(Z49), "")</f>
        <v/>
      </c>
      <c r="AB49" s="58" t="str">
        <f>OWOP!L51</f>
        <v/>
      </c>
      <c r="AC49" s="59" t="str" cm="1">
        <f t="array" ref="AC49">IF(Z49&lt;&gt;"", ToRemark(Z49), "")</f>
        <v/>
      </c>
      <c r="AD49" s="60"/>
      <c r="AE49" s="57" t="str">
        <f>IFERROR(ROUND('C ARTS'!H51,0), "")</f>
        <v/>
      </c>
      <c r="AF49" s="57" t="str">
        <f>IFERROR(ROUND('C ARTS'!J51,0), "")</f>
        <v/>
      </c>
      <c r="AG49" s="56" t="str">
        <f t="shared" si="11"/>
        <v/>
      </c>
      <c r="AH49" s="57" t="str" cm="1">
        <f t="array" ref="AH49">IF(AG49&lt;&gt;"", ToGrade(AG49), "")</f>
        <v/>
      </c>
      <c r="AI49" s="58" t="str">
        <f>'C ARTS'!L51</f>
        <v/>
      </c>
      <c r="AJ49" s="59" t="str" cm="1">
        <f t="array" ref="AJ49">IF(AG49&lt;&gt;"", ToRemark(AG49), "")</f>
        <v/>
      </c>
      <c r="AK49" s="60"/>
      <c r="AL49" s="57" t="str">
        <f>IFERROR(ROUND('GH LANG'!H51,0), "")</f>
        <v/>
      </c>
      <c r="AM49" s="57" t="str">
        <f>IFERROR(ROUND('GH LANG'!J51,0), "")</f>
        <v/>
      </c>
      <c r="AN49" s="61" t="str">
        <f t="shared" si="12"/>
        <v/>
      </c>
      <c r="AO49" s="57" t="str" cm="1">
        <f t="array" ref="AO49">IF(AN49&lt;&gt;"", ToGrade(AN49), "")</f>
        <v/>
      </c>
      <c r="AP49" s="58" t="str">
        <f>'GH LANG'!L51</f>
        <v/>
      </c>
      <c r="AQ49" s="59" t="str" cm="1">
        <f t="array" ref="AQ49">IF(AN49&lt;&gt;"", ToRemark(AN49), "")</f>
        <v/>
      </c>
      <c r="AR49" s="60"/>
      <c r="AS49" s="57" t="str">
        <f>IFERROR(ROUND(COMPUTING!H51,0), "")</f>
        <v/>
      </c>
      <c r="AT49" s="57" t="str">
        <f>IFERROR(ROUND(COMPUTING!J51,0), "")</f>
        <v/>
      </c>
      <c r="AU49" s="56" t="str">
        <f t="shared" si="13"/>
        <v/>
      </c>
      <c r="AV49" s="57" t="str" cm="1">
        <f t="array" ref="AV49">IF(AU49&lt;&gt;"", ToGrade(AU49), "")</f>
        <v/>
      </c>
      <c r="AW49" s="58" t="str">
        <f>COMPUTING!L51</f>
        <v/>
      </c>
      <c r="AX49" s="59" t="str" cm="1">
        <f t="array" ref="AX49">IF(AU49&lt;&gt;"", ToRemark(AU49), "")</f>
        <v/>
      </c>
      <c r="AY49" s="62"/>
      <c r="AZ49" s="57" t="str">
        <f>IFERROR(ROUND(HISTERY!H51,0), "")</f>
        <v/>
      </c>
      <c r="BA49" s="57" t="str">
        <f>IFERROR(ROUND(HISTERY!J51,0), "")</f>
        <v/>
      </c>
      <c r="BB49" s="56" t="str">
        <f t="shared" si="14"/>
        <v/>
      </c>
      <c r="BC49" s="57" t="str" cm="1">
        <f t="array" ref="BC49">IF(BB49&lt;&gt;"", ToGrade(BB49), "")</f>
        <v/>
      </c>
      <c r="BD49" s="58" t="str">
        <f>HISTERY!L51</f>
        <v/>
      </c>
      <c r="BE49" s="59" t="str" cm="1">
        <f t="array" ref="BE49">IF(BB49&lt;&gt;"", ToRemark(BB49), "")</f>
        <v/>
      </c>
      <c r="BF49" s="60"/>
      <c r="BG49" s="57" t="str">
        <f>IFERROR(ROUND(RME!H51,0), "")</f>
        <v/>
      </c>
      <c r="BH49" s="57" t="str">
        <f>IFERROR(ROUND(RME!J51,0), "")</f>
        <v/>
      </c>
      <c r="BI49" s="56" t="str">
        <f t="shared" si="15"/>
        <v/>
      </c>
      <c r="BJ49" s="57" t="str" cm="1">
        <f t="array" ref="BJ49">IF(BI49&lt;&gt;"", ToGrade(BI49), "")</f>
        <v/>
      </c>
      <c r="BK49" s="58" t="str">
        <f>RME!L51</f>
        <v/>
      </c>
      <c r="BL49" s="59" t="str" cm="1">
        <f t="array" ref="BL49">IF(BI49&lt;&gt;"", ToRemark(BI49), "")</f>
        <v/>
      </c>
      <c r="BM49" s="74"/>
      <c r="BN49" s="97" t="str">
        <f t="shared" si="16"/>
        <v/>
      </c>
      <c r="BO49" s="106" t="str">
        <f t="shared" si="17"/>
        <v/>
      </c>
      <c r="BP49" s="98" t="str" cm="1">
        <f t="array" ref="BP49">IFERROR(OrdinalNumber(_xlfn.RANK.EQ(BN49,$BN$3:$BN$101)), "")</f>
        <v/>
      </c>
      <c r="BQ49" s="104"/>
      <c r="BR49" s="99"/>
      <c r="BS49" s="111"/>
      <c r="BT49" s="83" t="str" cm="1">
        <f t="array" ref="BT49">IF(LEN(B49)&lt;&gt;0, GetTeacherRemark(BO49), "")</f>
        <v/>
      </c>
      <c r="BU49" s="86" t="str">
        <f t="shared" si="18"/>
        <v/>
      </c>
      <c r="BV49" s="86" t="str">
        <f t="shared" si="19"/>
        <v/>
      </c>
      <c r="BW49" s="86" t="str">
        <f t="shared" si="20"/>
        <v/>
      </c>
      <c r="BX49" s="86" t="str">
        <f t="shared" si="21"/>
        <v/>
      </c>
      <c r="BY49" s="115" t="str">
        <f t="shared" si="22"/>
        <v/>
      </c>
      <c r="BZ49" s="87" t="str">
        <f t="shared" si="23"/>
        <v/>
      </c>
      <c r="CA49" s="86" t="str">
        <f t="shared" si="24"/>
        <v/>
      </c>
      <c r="CB49" s="85"/>
    </row>
    <row r="50" spans="1:80" x14ac:dyDescent="0.25">
      <c r="A50" s="53" t="str">
        <v>48</v>
      </c>
      <c r="B50" s="54" t="str">
        <v/>
      </c>
      <c r="C50" s="55" t="str">
        <f>IFERROR(ROUND(ENGLISH!H52,0), "")</f>
        <v/>
      </c>
      <c r="D50" s="55" t="str">
        <f>IFERROR(ROUND(ENGLISH!J52,0), "")</f>
        <v/>
      </c>
      <c r="E50" s="56" t="str">
        <f t="shared" si="7"/>
        <v/>
      </c>
      <c r="F50" s="57" t="str" cm="1">
        <f t="array" ref="F50">IF(E50&lt;&gt;"", ToGrade(E50), "")</f>
        <v/>
      </c>
      <c r="G50" s="58" t="str">
        <f>ENGLISH!L52</f>
        <v/>
      </c>
      <c r="H50" s="59" t="str" cm="1">
        <f t="array" ref="H50">IF(E50&lt;&gt;"", ToRemark(E50), "")</f>
        <v/>
      </c>
      <c r="I50" s="60"/>
      <c r="J50" s="55" t="str">
        <f>IFERROR(ROUND(MATHS!H52,0), "")</f>
        <v/>
      </c>
      <c r="K50" s="55" t="str">
        <f>IFERROR(ROUND(MATHS!J52,0), "")</f>
        <v/>
      </c>
      <c r="L50" s="56" t="str">
        <f t="shared" si="8"/>
        <v/>
      </c>
      <c r="M50" s="57" t="str" cm="1">
        <f t="array" ref="M50">IF(L50&lt;&gt;"", ToGrade(L50), "")</f>
        <v/>
      </c>
      <c r="N50" s="58" t="str">
        <f>MATHS!L52</f>
        <v/>
      </c>
      <c r="O50" s="59" t="str" cm="1">
        <f t="array" ref="O50">IF(L50&lt;&gt;"", ToRemark(L50), "")</f>
        <v/>
      </c>
      <c r="P50" s="60"/>
      <c r="Q50" s="57" t="str">
        <f>IFERROR(ROUND(SCIENCE!H52,0), "")</f>
        <v/>
      </c>
      <c r="R50" s="57" t="str">
        <f>IFERROR(ROUND(SCIENCE!J52,0), "")</f>
        <v/>
      </c>
      <c r="S50" s="56" t="str">
        <f t="shared" si="9"/>
        <v/>
      </c>
      <c r="T50" s="57" t="str" cm="1">
        <f t="array" ref="T50">IF(S50&lt;&gt;"", ToGrade(S50), "")</f>
        <v/>
      </c>
      <c r="U50" s="58" t="str">
        <f>SCIENCE!L52</f>
        <v/>
      </c>
      <c r="V50" s="59" t="str" cm="1">
        <f t="array" ref="V50">IF(S50&lt;&gt;"", ToRemark(S50), "")</f>
        <v/>
      </c>
      <c r="W50" s="60"/>
      <c r="X50" s="57" t="str">
        <f>IFERROR(ROUND(OWOP!H52,0), "")</f>
        <v/>
      </c>
      <c r="Y50" s="57" t="str">
        <f>IFERROR(ROUND(OWOP!J52,0), "")</f>
        <v/>
      </c>
      <c r="Z50" s="56" t="str">
        <f t="shared" si="10"/>
        <v/>
      </c>
      <c r="AA50" s="57" t="str" cm="1">
        <f t="array" ref="AA50">IF(Z50&lt;&gt;"", ToGrade(Z50), "")</f>
        <v/>
      </c>
      <c r="AB50" s="58" t="str">
        <f>OWOP!L52</f>
        <v/>
      </c>
      <c r="AC50" s="59" t="str" cm="1">
        <f t="array" ref="AC50">IF(Z50&lt;&gt;"", ToRemark(Z50), "")</f>
        <v/>
      </c>
      <c r="AD50" s="60"/>
      <c r="AE50" s="57" t="str">
        <f>IFERROR(ROUND('C ARTS'!H52,0), "")</f>
        <v/>
      </c>
      <c r="AF50" s="57" t="str">
        <f>IFERROR(ROUND('C ARTS'!J52,0), "")</f>
        <v/>
      </c>
      <c r="AG50" s="56" t="str">
        <f t="shared" si="11"/>
        <v/>
      </c>
      <c r="AH50" s="57" t="str" cm="1">
        <f t="array" ref="AH50">IF(AG50&lt;&gt;"", ToGrade(AG50), "")</f>
        <v/>
      </c>
      <c r="AI50" s="58" t="str">
        <f>'C ARTS'!L52</f>
        <v/>
      </c>
      <c r="AJ50" s="59" t="str" cm="1">
        <f t="array" ref="AJ50">IF(AG50&lt;&gt;"", ToRemark(AG50), "")</f>
        <v/>
      </c>
      <c r="AK50" s="60"/>
      <c r="AL50" s="57" t="str">
        <f>IFERROR(ROUND('GH LANG'!H52,0), "")</f>
        <v/>
      </c>
      <c r="AM50" s="57" t="str">
        <f>IFERROR(ROUND('GH LANG'!J52,0), "")</f>
        <v/>
      </c>
      <c r="AN50" s="61" t="str">
        <f t="shared" si="12"/>
        <v/>
      </c>
      <c r="AO50" s="57" t="str" cm="1">
        <f t="array" ref="AO50">IF(AN50&lt;&gt;"", ToGrade(AN50), "")</f>
        <v/>
      </c>
      <c r="AP50" s="58" t="str">
        <f>'GH LANG'!L52</f>
        <v/>
      </c>
      <c r="AQ50" s="59" t="str" cm="1">
        <f t="array" ref="AQ50">IF(AN50&lt;&gt;"", ToRemark(AN50), "")</f>
        <v/>
      </c>
      <c r="AR50" s="60"/>
      <c r="AS50" s="57" t="str">
        <f>IFERROR(ROUND(COMPUTING!H52,0), "")</f>
        <v/>
      </c>
      <c r="AT50" s="57" t="str">
        <f>IFERROR(ROUND(COMPUTING!J52,0), "")</f>
        <v/>
      </c>
      <c r="AU50" s="56" t="str">
        <f t="shared" si="13"/>
        <v/>
      </c>
      <c r="AV50" s="57" t="str" cm="1">
        <f t="array" ref="AV50">IF(AU50&lt;&gt;"", ToGrade(AU50), "")</f>
        <v/>
      </c>
      <c r="AW50" s="58" t="str">
        <f>COMPUTING!L52</f>
        <v/>
      </c>
      <c r="AX50" s="59" t="str" cm="1">
        <f t="array" ref="AX50">IF(AU50&lt;&gt;"", ToRemark(AU50), "")</f>
        <v/>
      </c>
      <c r="AY50" s="62"/>
      <c r="AZ50" s="57" t="str">
        <f>IFERROR(ROUND(HISTERY!H52,0), "")</f>
        <v/>
      </c>
      <c r="BA50" s="57" t="str">
        <f>IFERROR(ROUND(HISTERY!J52,0), "")</f>
        <v/>
      </c>
      <c r="BB50" s="56" t="str">
        <f t="shared" si="14"/>
        <v/>
      </c>
      <c r="BC50" s="57" t="str" cm="1">
        <f t="array" ref="BC50">IF(BB50&lt;&gt;"", ToGrade(BB50), "")</f>
        <v/>
      </c>
      <c r="BD50" s="58" t="str">
        <f>HISTERY!L52</f>
        <v/>
      </c>
      <c r="BE50" s="59" t="str" cm="1">
        <f t="array" ref="BE50">IF(BB50&lt;&gt;"", ToRemark(BB50), "")</f>
        <v/>
      </c>
      <c r="BF50" s="60"/>
      <c r="BG50" s="57" t="str">
        <f>IFERROR(ROUND(RME!H52,0), "")</f>
        <v/>
      </c>
      <c r="BH50" s="57" t="str">
        <f>IFERROR(ROUND(RME!J52,0), "")</f>
        <v/>
      </c>
      <c r="BI50" s="56" t="str">
        <f t="shared" si="15"/>
        <v/>
      </c>
      <c r="BJ50" s="57" t="str" cm="1">
        <f t="array" ref="BJ50">IF(BI50&lt;&gt;"", ToGrade(BI50), "")</f>
        <v/>
      </c>
      <c r="BK50" s="58" t="str">
        <f>RME!L52</f>
        <v/>
      </c>
      <c r="BL50" s="59" t="str" cm="1">
        <f t="array" ref="BL50">IF(BI50&lt;&gt;"", ToRemark(BI50), "")</f>
        <v/>
      </c>
      <c r="BM50" s="74"/>
      <c r="BN50" s="97" t="str">
        <f t="shared" si="16"/>
        <v/>
      </c>
      <c r="BO50" s="106" t="str">
        <f t="shared" si="17"/>
        <v/>
      </c>
      <c r="BP50" s="98" t="str" cm="1">
        <f t="array" ref="BP50">IFERROR(OrdinalNumber(_xlfn.RANK.EQ(BN50,$BN$3:$BN$101)), "")</f>
        <v/>
      </c>
      <c r="BQ50" s="104"/>
      <c r="BR50" s="99"/>
      <c r="BS50" s="111"/>
      <c r="BT50" s="83" t="str" cm="1">
        <f t="array" ref="BT50">IF(LEN(B50)&lt;&gt;0, GetTeacherRemark(BO50), "")</f>
        <v/>
      </c>
      <c r="BU50" s="86" t="str">
        <f t="shared" si="18"/>
        <v/>
      </c>
      <c r="BV50" s="86" t="str">
        <f t="shared" si="19"/>
        <v/>
      </c>
      <c r="BW50" s="86" t="str">
        <f t="shared" si="20"/>
        <v/>
      </c>
      <c r="BX50" s="86" t="str">
        <f t="shared" si="21"/>
        <v/>
      </c>
      <c r="BY50" s="115" t="str">
        <f t="shared" si="22"/>
        <v/>
      </c>
      <c r="BZ50" s="87" t="str">
        <f t="shared" si="23"/>
        <v/>
      </c>
      <c r="CA50" s="86" t="str">
        <f t="shared" si="24"/>
        <v/>
      </c>
      <c r="CB50" s="85"/>
    </row>
    <row r="51" spans="1:80" x14ac:dyDescent="0.25">
      <c r="A51" s="53" t="str">
        <v>49</v>
      </c>
      <c r="B51" s="54" t="str">
        <v/>
      </c>
      <c r="C51" s="55" t="str">
        <f>IFERROR(ROUND(ENGLISH!H53,0), "")</f>
        <v/>
      </c>
      <c r="D51" s="55" t="str">
        <f>IFERROR(ROUND(ENGLISH!J53,0), "")</f>
        <v/>
      </c>
      <c r="E51" s="56" t="str">
        <f t="shared" si="7"/>
        <v/>
      </c>
      <c r="F51" s="57" t="str" cm="1">
        <f t="array" ref="F51">IF(E51&lt;&gt;"", ToGrade(E51), "")</f>
        <v/>
      </c>
      <c r="G51" s="58" t="str">
        <f>ENGLISH!L53</f>
        <v/>
      </c>
      <c r="H51" s="59" t="str" cm="1">
        <f t="array" ref="H51">IF(E51&lt;&gt;"", ToRemark(E51), "")</f>
        <v/>
      </c>
      <c r="I51" s="60"/>
      <c r="J51" s="55" t="str">
        <f>IFERROR(ROUND(MATHS!H53,0), "")</f>
        <v/>
      </c>
      <c r="K51" s="55" t="str">
        <f>IFERROR(ROUND(MATHS!J53,0), "")</f>
        <v/>
      </c>
      <c r="L51" s="56" t="str">
        <f t="shared" si="8"/>
        <v/>
      </c>
      <c r="M51" s="57" t="str" cm="1">
        <f t="array" ref="M51">IF(L51&lt;&gt;"", ToGrade(L51), "")</f>
        <v/>
      </c>
      <c r="N51" s="58" t="str">
        <f>MATHS!L53</f>
        <v/>
      </c>
      <c r="O51" s="59" t="str" cm="1">
        <f t="array" ref="O51">IF(L51&lt;&gt;"", ToRemark(L51), "")</f>
        <v/>
      </c>
      <c r="P51" s="60"/>
      <c r="Q51" s="57" t="str">
        <f>IFERROR(ROUND(SCIENCE!H53,0), "")</f>
        <v/>
      </c>
      <c r="R51" s="57" t="str">
        <f>IFERROR(ROUND(SCIENCE!J53,0), "")</f>
        <v/>
      </c>
      <c r="S51" s="56" t="str">
        <f t="shared" si="9"/>
        <v/>
      </c>
      <c r="T51" s="57" t="str" cm="1">
        <f t="array" ref="T51">IF(S51&lt;&gt;"", ToGrade(S51), "")</f>
        <v/>
      </c>
      <c r="U51" s="58" t="str">
        <f>SCIENCE!L53</f>
        <v/>
      </c>
      <c r="V51" s="59" t="str" cm="1">
        <f t="array" ref="V51">IF(S51&lt;&gt;"", ToRemark(S51), "")</f>
        <v/>
      </c>
      <c r="W51" s="60"/>
      <c r="X51" s="57" t="str">
        <f>IFERROR(ROUND(OWOP!H53,0), "")</f>
        <v/>
      </c>
      <c r="Y51" s="57" t="str">
        <f>IFERROR(ROUND(OWOP!J53,0), "")</f>
        <v/>
      </c>
      <c r="Z51" s="56" t="str">
        <f t="shared" si="10"/>
        <v/>
      </c>
      <c r="AA51" s="57" t="str" cm="1">
        <f t="array" ref="AA51">IF(Z51&lt;&gt;"", ToGrade(Z51), "")</f>
        <v/>
      </c>
      <c r="AB51" s="58" t="str">
        <f>OWOP!L53</f>
        <v/>
      </c>
      <c r="AC51" s="59" t="str" cm="1">
        <f t="array" ref="AC51">IF(Z51&lt;&gt;"", ToRemark(Z51), "")</f>
        <v/>
      </c>
      <c r="AD51" s="60"/>
      <c r="AE51" s="57" t="str">
        <f>IFERROR(ROUND('C ARTS'!H53,0), "")</f>
        <v/>
      </c>
      <c r="AF51" s="57" t="str">
        <f>IFERROR(ROUND('C ARTS'!J53,0), "")</f>
        <v/>
      </c>
      <c r="AG51" s="56" t="str">
        <f t="shared" si="11"/>
        <v/>
      </c>
      <c r="AH51" s="57" t="str" cm="1">
        <f t="array" ref="AH51">IF(AG51&lt;&gt;"", ToGrade(AG51), "")</f>
        <v/>
      </c>
      <c r="AI51" s="58" t="str">
        <f>'C ARTS'!L53</f>
        <v/>
      </c>
      <c r="AJ51" s="59" t="str" cm="1">
        <f t="array" ref="AJ51">IF(AG51&lt;&gt;"", ToRemark(AG51), "")</f>
        <v/>
      </c>
      <c r="AK51" s="60"/>
      <c r="AL51" s="57" t="str">
        <f>IFERROR(ROUND('GH LANG'!H53,0), "")</f>
        <v/>
      </c>
      <c r="AM51" s="57" t="str">
        <f>IFERROR(ROUND('GH LANG'!J53,0), "")</f>
        <v/>
      </c>
      <c r="AN51" s="61" t="str">
        <f t="shared" si="12"/>
        <v/>
      </c>
      <c r="AO51" s="57" t="str" cm="1">
        <f t="array" ref="AO51">IF(AN51&lt;&gt;"", ToGrade(AN51), "")</f>
        <v/>
      </c>
      <c r="AP51" s="58" t="str">
        <f>'GH LANG'!L53</f>
        <v/>
      </c>
      <c r="AQ51" s="59" t="str" cm="1">
        <f t="array" ref="AQ51">IF(AN51&lt;&gt;"", ToRemark(AN51), "")</f>
        <v/>
      </c>
      <c r="AR51" s="60"/>
      <c r="AS51" s="57" t="str">
        <f>IFERROR(ROUND(COMPUTING!H53,0), "")</f>
        <v/>
      </c>
      <c r="AT51" s="57" t="str">
        <f>IFERROR(ROUND(COMPUTING!J53,0), "")</f>
        <v/>
      </c>
      <c r="AU51" s="56" t="str">
        <f t="shared" si="13"/>
        <v/>
      </c>
      <c r="AV51" s="57" t="str" cm="1">
        <f t="array" ref="AV51">IF(AU51&lt;&gt;"", ToGrade(AU51), "")</f>
        <v/>
      </c>
      <c r="AW51" s="58" t="str">
        <f>COMPUTING!L53</f>
        <v/>
      </c>
      <c r="AX51" s="59" t="str" cm="1">
        <f t="array" ref="AX51">IF(AU51&lt;&gt;"", ToRemark(AU51), "")</f>
        <v/>
      </c>
      <c r="AY51" s="62"/>
      <c r="AZ51" s="57" t="str">
        <f>IFERROR(ROUND(HISTERY!H53,0), "")</f>
        <v/>
      </c>
      <c r="BA51" s="57" t="str">
        <f>IFERROR(ROUND(HISTERY!J53,0), "")</f>
        <v/>
      </c>
      <c r="BB51" s="56" t="str">
        <f t="shared" si="14"/>
        <v/>
      </c>
      <c r="BC51" s="57" t="str" cm="1">
        <f t="array" ref="BC51">IF(BB51&lt;&gt;"", ToGrade(BB51), "")</f>
        <v/>
      </c>
      <c r="BD51" s="58" t="str">
        <f>HISTERY!L53</f>
        <v/>
      </c>
      <c r="BE51" s="59" t="str" cm="1">
        <f t="array" ref="BE51">IF(BB51&lt;&gt;"", ToRemark(BB51), "")</f>
        <v/>
      </c>
      <c r="BF51" s="60"/>
      <c r="BG51" s="57" t="str">
        <f>IFERROR(ROUND(RME!H53,0), "")</f>
        <v/>
      </c>
      <c r="BH51" s="57" t="str">
        <f>IFERROR(ROUND(RME!J53,0), "")</f>
        <v/>
      </c>
      <c r="BI51" s="56" t="str">
        <f t="shared" si="15"/>
        <v/>
      </c>
      <c r="BJ51" s="57" t="str" cm="1">
        <f t="array" ref="BJ51">IF(BI51&lt;&gt;"", ToGrade(BI51), "")</f>
        <v/>
      </c>
      <c r="BK51" s="58" t="str">
        <f>RME!L53</f>
        <v/>
      </c>
      <c r="BL51" s="59" t="str" cm="1">
        <f t="array" ref="BL51">IF(BI51&lt;&gt;"", ToRemark(BI51), "")</f>
        <v/>
      </c>
      <c r="BM51" s="74"/>
      <c r="BN51" s="97" t="str">
        <f t="shared" si="16"/>
        <v/>
      </c>
      <c r="BO51" s="106" t="str">
        <f t="shared" si="17"/>
        <v/>
      </c>
      <c r="BP51" s="98" t="str" cm="1">
        <f t="array" ref="BP51">IFERROR(OrdinalNumber(_xlfn.RANK.EQ(BN51,$BN$3:$BN$101)), "")</f>
        <v/>
      </c>
      <c r="BQ51" s="104"/>
      <c r="BR51" s="99"/>
      <c r="BS51" s="111"/>
      <c r="BT51" s="83" t="str" cm="1">
        <f t="array" ref="BT51">IF(LEN(B51)&lt;&gt;0, GetTeacherRemark(BO51), "")</f>
        <v/>
      </c>
      <c r="BU51" s="86" t="str">
        <f t="shared" si="18"/>
        <v/>
      </c>
      <c r="BV51" s="86" t="str">
        <f t="shared" si="19"/>
        <v/>
      </c>
      <c r="BW51" s="86" t="str">
        <f t="shared" si="20"/>
        <v/>
      </c>
      <c r="BX51" s="86" t="str">
        <f t="shared" si="21"/>
        <v/>
      </c>
      <c r="BY51" s="115" t="str">
        <f t="shared" si="22"/>
        <v/>
      </c>
      <c r="BZ51" s="87" t="str">
        <f t="shared" si="23"/>
        <v/>
      </c>
      <c r="CA51" s="86" t="str">
        <f t="shared" si="24"/>
        <v/>
      </c>
      <c r="CB51" s="85"/>
    </row>
    <row r="52" spans="1:80" x14ac:dyDescent="0.25">
      <c r="A52" s="53" t="str">
        <v>50</v>
      </c>
      <c r="B52" s="54" t="str">
        <v/>
      </c>
      <c r="C52" s="55" t="str">
        <f>IFERROR(ROUND(ENGLISH!H54,0), "")</f>
        <v/>
      </c>
      <c r="D52" s="55" t="str">
        <f>IFERROR(ROUND(ENGLISH!J54,0), "")</f>
        <v/>
      </c>
      <c r="E52" s="56" t="str">
        <f t="shared" si="7"/>
        <v/>
      </c>
      <c r="F52" s="57" t="str" cm="1">
        <f t="array" ref="F52">IF(E52&lt;&gt;"", ToGrade(E52), "")</f>
        <v/>
      </c>
      <c r="G52" s="58" t="str">
        <f>ENGLISH!L54</f>
        <v/>
      </c>
      <c r="H52" s="59" t="str" cm="1">
        <f t="array" ref="H52">IF(E52&lt;&gt;"", ToRemark(E52), "")</f>
        <v/>
      </c>
      <c r="I52" s="60"/>
      <c r="J52" s="55" t="str">
        <f>IFERROR(ROUND(MATHS!H54,0), "")</f>
        <v/>
      </c>
      <c r="K52" s="55" t="str">
        <f>IFERROR(ROUND(MATHS!J54,0), "")</f>
        <v/>
      </c>
      <c r="L52" s="56" t="str">
        <f t="shared" si="8"/>
        <v/>
      </c>
      <c r="M52" s="57" t="str" cm="1">
        <f t="array" ref="M52">IF(L52&lt;&gt;"", ToGrade(L52), "")</f>
        <v/>
      </c>
      <c r="N52" s="58" t="str">
        <f>MATHS!L54</f>
        <v/>
      </c>
      <c r="O52" s="59" t="str" cm="1">
        <f t="array" ref="O52">IF(L52&lt;&gt;"", ToRemark(L52), "")</f>
        <v/>
      </c>
      <c r="P52" s="60"/>
      <c r="Q52" s="57" t="str">
        <f>IFERROR(ROUND(SCIENCE!H54,0), "")</f>
        <v/>
      </c>
      <c r="R52" s="57" t="str">
        <f>IFERROR(ROUND(SCIENCE!J54,0), "")</f>
        <v/>
      </c>
      <c r="S52" s="56" t="str">
        <f t="shared" si="9"/>
        <v/>
      </c>
      <c r="T52" s="57" t="str" cm="1">
        <f t="array" ref="T52">IF(S52&lt;&gt;"", ToGrade(S52), "")</f>
        <v/>
      </c>
      <c r="U52" s="58" t="str">
        <f>SCIENCE!L54</f>
        <v/>
      </c>
      <c r="V52" s="59" t="str" cm="1">
        <f t="array" ref="V52">IF(S52&lt;&gt;"", ToRemark(S52), "")</f>
        <v/>
      </c>
      <c r="W52" s="60"/>
      <c r="X52" s="57" t="str">
        <f>IFERROR(ROUND(OWOP!H54,0), "")</f>
        <v/>
      </c>
      <c r="Y52" s="57" t="str">
        <f>IFERROR(ROUND(OWOP!J54,0), "")</f>
        <v/>
      </c>
      <c r="Z52" s="56" t="str">
        <f t="shared" si="10"/>
        <v/>
      </c>
      <c r="AA52" s="57" t="str" cm="1">
        <f t="array" ref="AA52">IF(Z52&lt;&gt;"", ToGrade(Z52), "")</f>
        <v/>
      </c>
      <c r="AB52" s="58" t="str">
        <f>OWOP!L54</f>
        <v/>
      </c>
      <c r="AC52" s="59" t="str" cm="1">
        <f t="array" ref="AC52">IF(Z52&lt;&gt;"", ToRemark(Z52), "")</f>
        <v/>
      </c>
      <c r="AD52" s="60"/>
      <c r="AE52" s="57" t="str">
        <f>IFERROR(ROUND('C ARTS'!H54,0), "")</f>
        <v/>
      </c>
      <c r="AF52" s="57" t="str">
        <f>IFERROR(ROUND('C ARTS'!J54,0), "")</f>
        <v/>
      </c>
      <c r="AG52" s="56" t="str">
        <f t="shared" si="11"/>
        <v/>
      </c>
      <c r="AH52" s="57" t="str" cm="1">
        <f t="array" ref="AH52">IF(AG52&lt;&gt;"", ToGrade(AG52), "")</f>
        <v/>
      </c>
      <c r="AI52" s="58" t="str">
        <f>'C ARTS'!L54</f>
        <v/>
      </c>
      <c r="AJ52" s="59" t="str" cm="1">
        <f t="array" ref="AJ52">IF(AG52&lt;&gt;"", ToRemark(AG52), "")</f>
        <v/>
      </c>
      <c r="AK52" s="60"/>
      <c r="AL52" s="57" t="str">
        <f>IFERROR(ROUND('GH LANG'!H54,0), "")</f>
        <v/>
      </c>
      <c r="AM52" s="57" t="str">
        <f>IFERROR(ROUND('GH LANG'!J54,0), "")</f>
        <v/>
      </c>
      <c r="AN52" s="61" t="str">
        <f t="shared" si="12"/>
        <v/>
      </c>
      <c r="AO52" s="57" t="str" cm="1">
        <f t="array" ref="AO52">IF(AN52&lt;&gt;"", ToGrade(AN52), "")</f>
        <v/>
      </c>
      <c r="AP52" s="58" t="str">
        <f>'GH LANG'!L54</f>
        <v/>
      </c>
      <c r="AQ52" s="59" t="str" cm="1">
        <f t="array" ref="AQ52">IF(AN52&lt;&gt;"", ToRemark(AN52), "")</f>
        <v/>
      </c>
      <c r="AR52" s="60"/>
      <c r="AS52" s="57" t="str">
        <f>IFERROR(ROUND(COMPUTING!H54,0), "")</f>
        <v/>
      </c>
      <c r="AT52" s="57" t="str">
        <f>IFERROR(ROUND(COMPUTING!J54,0), "")</f>
        <v/>
      </c>
      <c r="AU52" s="56" t="str">
        <f t="shared" si="13"/>
        <v/>
      </c>
      <c r="AV52" s="57" t="str" cm="1">
        <f t="array" ref="AV52">IF(AU52&lt;&gt;"", ToGrade(AU52), "")</f>
        <v/>
      </c>
      <c r="AW52" s="58" t="str">
        <f>COMPUTING!L54</f>
        <v/>
      </c>
      <c r="AX52" s="59" t="str" cm="1">
        <f t="array" ref="AX52">IF(AU52&lt;&gt;"", ToRemark(AU52), "")</f>
        <v/>
      </c>
      <c r="AY52" s="62"/>
      <c r="AZ52" s="57" t="str">
        <f>IFERROR(ROUND(HISTERY!H54,0), "")</f>
        <v/>
      </c>
      <c r="BA52" s="57" t="str">
        <f>IFERROR(ROUND(HISTERY!J54,0), "")</f>
        <v/>
      </c>
      <c r="BB52" s="56" t="str">
        <f t="shared" si="14"/>
        <v/>
      </c>
      <c r="BC52" s="57" t="str" cm="1">
        <f t="array" ref="BC52">IF(BB52&lt;&gt;"", ToGrade(BB52), "")</f>
        <v/>
      </c>
      <c r="BD52" s="58" t="str">
        <f>HISTERY!L54</f>
        <v/>
      </c>
      <c r="BE52" s="59" t="str" cm="1">
        <f t="array" ref="BE52">IF(BB52&lt;&gt;"", ToRemark(BB52), "")</f>
        <v/>
      </c>
      <c r="BF52" s="60"/>
      <c r="BG52" s="57" t="str">
        <f>IFERROR(ROUND(RME!H54,0), "")</f>
        <v/>
      </c>
      <c r="BH52" s="57" t="str">
        <f>IFERROR(ROUND(RME!J54,0), "")</f>
        <v/>
      </c>
      <c r="BI52" s="56" t="str">
        <f t="shared" si="15"/>
        <v/>
      </c>
      <c r="BJ52" s="57" t="str" cm="1">
        <f t="array" ref="BJ52">IF(BI52&lt;&gt;"", ToGrade(BI52), "")</f>
        <v/>
      </c>
      <c r="BK52" s="58" t="str">
        <f>RME!L54</f>
        <v/>
      </c>
      <c r="BL52" s="59" t="str" cm="1">
        <f t="array" ref="BL52">IF(BI52&lt;&gt;"", ToRemark(BI52), "")</f>
        <v/>
      </c>
      <c r="BM52" s="74"/>
      <c r="BN52" s="97" t="str">
        <f t="shared" si="16"/>
        <v/>
      </c>
      <c r="BO52" s="106" t="str">
        <f t="shared" si="17"/>
        <v/>
      </c>
      <c r="BP52" s="98" t="str" cm="1">
        <f t="array" ref="BP52">IFERROR(OrdinalNumber(_xlfn.RANK.EQ(BN52,$BN$3:$BN$101)), "")</f>
        <v/>
      </c>
      <c r="BQ52" s="104"/>
      <c r="BR52" s="99"/>
      <c r="BS52" s="111"/>
      <c r="BT52" s="83" t="str" cm="1">
        <f t="array" ref="BT52">IF(LEN(B52)&lt;&gt;0, GetTeacherRemark(BO52), "")</f>
        <v/>
      </c>
      <c r="BU52" s="86" t="str">
        <f t="shared" si="18"/>
        <v/>
      </c>
      <c r="BV52" s="86" t="str">
        <f t="shared" si="19"/>
        <v/>
      </c>
      <c r="BW52" s="86" t="str">
        <f t="shared" si="20"/>
        <v/>
      </c>
      <c r="BX52" s="86" t="str">
        <f t="shared" si="21"/>
        <v/>
      </c>
      <c r="BY52" s="115" t="str">
        <f t="shared" si="22"/>
        <v/>
      </c>
      <c r="BZ52" s="87" t="str">
        <f t="shared" si="23"/>
        <v/>
      </c>
      <c r="CA52" s="86" t="str">
        <f t="shared" si="24"/>
        <v/>
      </c>
      <c r="CB52" s="85"/>
    </row>
    <row r="53" spans="1:80" x14ac:dyDescent="0.25">
      <c r="A53" s="53" t="str">
        <v>51</v>
      </c>
      <c r="B53" s="54" t="str">
        <v/>
      </c>
      <c r="C53" s="55" t="str">
        <f>IFERROR(ROUND(ENGLISH!H55,0), "")</f>
        <v/>
      </c>
      <c r="D53" s="55" t="str">
        <f>IFERROR(ROUND(ENGLISH!J55,0), "")</f>
        <v/>
      </c>
      <c r="E53" s="56" t="str">
        <f t="shared" si="7"/>
        <v/>
      </c>
      <c r="F53" s="57" t="str" cm="1">
        <f t="array" ref="F53">IF(E53&lt;&gt;"", ToGrade(E53), "")</f>
        <v/>
      </c>
      <c r="G53" s="58" t="str">
        <f>ENGLISH!L55</f>
        <v/>
      </c>
      <c r="H53" s="59" t="str" cm="1">
        <f t="array" ref="H53">IF(E53&lt;&gt;"", ToRemark(E53), "")</f>
        <v/>
      </c>
      <c r="I53" s="60"/>
      <c r="J53" s="55" t="str">
        <f>IFERROR(ROUND(MATHS!H55,0), "")</f>
        <v/>
      </c>
      <c r="K53" s="55" t="str">
        <f>IFERROR(ROUND(MATHS!J55,0), "")</f>
        <v/>
      </c>
      <c r="L53" s="56" t="str">
        <f t="shared" si="8"/>
        <v/>
      </c>
      <c r="M53" s="57" t="str" cm="1">
        <f t="array" ref="M53">IF(L53&lt;&gt;"", ToGrade(L53), "")</f>
        <v/>
      </c>
      <c r="N53" s="58" t="str">
        <f>MATHS!L55</f>
        <v/>
      </c>
      <c r="O53" s="59" t="str" cm="1">
        <f t="array" ref="O53">IF(L53&lt;&gt;"", ToRemark(L53), "")</f>
        <v/>
      </c>
      <c r="P53" s="60"/>
      <c r="Q53" s="57" t="str">
        <f>IFERROR(ROUND(SCIENCE!H55,0), "")</f>
        <v/>
      </c>
      <c r="R53" s="57" t="str">
        <f>IFERROR(ROUND(SCIENCE!J55,0), "")</f>
        <v/>
      </c>
      <c r="S53" s="56" t="str">
        <f t="shared" si="9"/>
        <v/>
      </c>
      <c r="T53" s="57" t="str" cm="1">
        <f t="array" ref="T53">IF(S53&lt;&gt;"", ToGrade(S53), "")</f>
        <v/>
      </c>
      <c r="U53" s="58" t="str">
        <f>SCIENCE!L55</f>
        <v/>
      </c>
      <c r="V53" s="59" t="str" cm="1">
        <f t="array" ref="V53">IF(S53&lt;&gt;"", ToRemark(S53), "")</f>
        <v/>
      </c>
      <c r="W53" s="60"/>
      <c r="X53" s="57" t="str">
        <f>IFERROR(ROUND(OWOP!H55,0), "")</f>
        <v/>
      </c>
      <c r="Y53" s="57" t="str">
        <f>IFERROR(ROUND(OWOP!J55,0), "")</f>
        <v/>
      </c>
      <c r="Z53" s="56" t="str">
        <f t="shared" si="10"/>
        <v/>
      </c>
      <c r="AA53" s="57" t="str" cm="1">
        <f t="array" ref="AA53">IF(Z53&lt;&gt;"", ToGrade(Z53), "")</f>
        <v/>
      </c>
      <c r="AB53" s="58" t="str">
        <f>OWOP!L55</f>
        <v/>
      </c>
      <c r="AC53" s="59" t="str" cm="1">
        <f t="array" ref="AC53">IF(Z53&lt;&gt;"", ToRemark(Z53), "")</f>
        <v/>
      </c>
      <c r="AD53" s="60"/>
      <c r="AE53" s="57" t="str">
        <f>IFERROR(ROUND('C ARTS'!H55,0), "")</f>
        <v/>
      </c>
      <c r="AF53" s="57" t="str">
        <f>IFERROR(ROUND('C ARTS'!J55,0), "")</f>
        <v/>
      </c>
      <c r="AG53" s="56" t="str">
        <f t="shared" si="11"/>
        <v/>
      </c>
      <c r="AH53" s="57" t="str" cm="1">
        <f t="array" ref="AH53">IF(AG53&lt;&gt;"", ToGrade(AG53), "")</f>
        <v/>
      </c>
      <c r="AI53" s="58" t="str">
        <f>'C ARTS'!L55</f>
        <v/>
      </c>
      <c r="AJ53" s="59" t="str" cm="1">
        <f t="array" ref="AJ53">IF(AG53&lt;&gt;"", ToRemark(AG53), "")</f>
        <v/>
      </c>
      <c r="AK53" s="60"/>
      <c r="AL53" s="57" t="str">
        <f>IFERROR(ROUND('GH LANG'!H55,0), "")</f>
        <v/>
      </c>
      <c r="AM53" s="57" t="str">
        <f>IFERROR(ROUND('GH LANG'!J55,0), "")</f>
        <v/>
      </c>
      <c r="AN53" s="61" t="str">
        <f t="shared" si="12"/>
        <v/>
      </c>
      <c r="AO53" s="57" t="str" cm="1">
        <f t="array" ref="AO53">IF(AN53&lt;&gt;"", ToGrade(AN53), "")</f>
        <v/>
      </c>
      <c r="AP53" s="58" t="str">
        <f>'GH LANG'!L55</f>
        <v/>
      </c>
      <c r="AQ53" s="59" t="str" cm="1">
        <f t="array" ref="AQ53">IF(AN53&lt;&gt;"", ToRemark(AN53), "")</f>
        <v/>
      </c>
      <c r="AR53" s="60"/>
      <c r="AS53" s="57" t="str">
        <f>IFERROR(ROUND(COMPUTING!H55,0), "")</f>
        <v/>
      </c>
      <c r="AT53" s="57" t="str">
        <f>IFERROR(ROUND(COMPUTING!J55,0), "")</f>
        <v/>
      </c>
      <c r="AU53" s="56" t="str">
        <f t="shared" si="13"/>
        <v/>
      </c>
      <c r="AV53" s="57" t="str" cm="1">
        <f t="array" ref="AV53">IF(AU53&lt;&gt;"", ToGrade(AU53), "")</f>
        <v/>
      </c>
      <c r="AW53" s="58" t="str">
        <f>COMPUTING!L55</f>
        <v/>
      </c>
      <c r="AX53" s="59" t="str" cm="1">
        <f t="array" ref="AX53">IF(AU53&lt;&gt;"", ToRemark(AU53), "")</f>
        <v/>
      </c>
      <c r="AY53" s="62"/>
      <c r="AZ53" s="57" t="str">
        <f>IFERROR(ROUND(HISTERY!H55,0), "")</f>
        <v/>
      </c>
      <c r="BA53" s="57" t="str">
        <f>IFERROR(ROUND(HISTERY!J55,0), "")</f>
        <v/>
      </c>
      <c r="BB53" s="56" t="str">
        <f t="shared" si="14"/>
        <v/>
      </c>
      <c r="BC53" s="57" t="str" cm="1">
        <f t="array" ref="BC53">IF(BB53&lt;&gt;"", ToGrade(BB53), "")</f>
        <v/>
      </c>
      <c r="BD53" s="58" t="str">
        <f>HISTERY!L55</f>
        <v/>
      </c>
      <c r="BE53" s="59" t="str" cm="1">
        <f t="array" ref="BE53">IF(BB53&lt;&gt;"", ToRemark(BB53), "")</f>
        <v/>
      </c>
      <c r="BF53" s="60"/>
      <c r="BG53" s="57" t="str">
        <f>IFERROR(ROUND(RME!H55,0), "")</f>
        <v/>
      </c>
      <c r="BH53" s="57" t="str">
        <f>IFERROR(ROUND(RME!J55,0), "")</f>
        <v/>
      </c>
      <c r="BI53" s="56" t="str">
        <f t="shared" si="15"/>
        <v/>
      </c>
      <c r="BJ53" s="57" t="str" cm="1">
        <f t="array" ref="BJ53">IF(BI53&lt;&gt;"", ToGrade(BI53), "")</f>
        <v/>
      </c>
      <c r="BK53" s="58" t="str">
        <f>RME!L55</f>
        <v/>
      </c>
      <c r="BL53" s="59" t="str" cm="1">
        <f t="array" ref="BL53">IF(BI53&lt;&gt;"", ToRemark(BI53), "")</f>
        <v/>
      </c>
      <c r="BM53" s="74"/>
      <c r="BN53" s="97" t="str">
        <f t="shared" si="16"/>
        <v/>
      </c>
      <c r="BO53" s="106" t="str">
        <f t="shared" si="17"/>
        <v/>
      </c>
      <c r="BP53" s="98" t="str" cm="1">
        <f t="array" ref="BP53">IFERROR(OrdinalNumber(_xlfn.RANK.EQ(BN53,$BN$3:$BN$101)), "")</f>
        <v/>
      </c>
      <c r="BQ53" s="104"/>
      <c r="BR53" s="99"/>
      <c r="BS53" s="111"/>
      <c r="BT53" s="83" t="str" cm="1">
        <f t="array" ref="BT53">IF(LEN(B53)&lt;&gt;0, GetTeacherRemark(BO53), "")</f>
        <v/>
      </c>
      <c r="BU53" s="86" t="str">
        <f t="shared" si="18"/>
        <v/>
      </c>
      <c r="BV53" s="86" t="str">
        <f t="shared" si="19"/>
        <v/>
      </c>
      <c r="BW53" s="86" t="str">
        <f t="shared" si="20"/>
        <v/>
      </c>
      <c r="BX53" s="86" t="str">
        <f t="shared" si="21"/>
        <v/>
      </c>
      <c r="BY53" s="115" t="str">
        <f t="shared" si="22"/>
        <v/>
      </c>
      <c r="BZ53" s="87" t="str">
        <f t="shared" si="23"/>
        <v/>
      </c>
      <c r="CA53" s="86" t="str">
        <f t="shared" si="24"/>
        <v/>
      </c>
      <c r="CB53" s="85"/>
    </row>
    <row r="54" spans="1:80" x14ac:dyDescent="0.25">
      <c r="A54" s="53" t="str">
        <v>52</v>
      </c>
      <c r="B54" s="54" t="str">
        <v/>
      </c>
      <c r="C54" s="55" t="str">
        <f>IFERROR(ROUND(ENGLISH!H56,0), "")</f>
        <v/>
      </c>
      <c r="D54" s="55" t="str">
        <f>IFERROR(ROUND(ENGLISH!J56,0), "")</f>
        <v/>
      </c>
      <c r="E54" s="56" t="str">
        <f t="shared" si="7"/>
        <v/>
      </c>
      <c r="F54" s="57" t="str" cm="1">
        <f t="array" ref="F54">IF(E54&lt;&gt;"", ToGrade(E54), "")</f>
        <v/>
      </c>
      <c r="G54" s="58" t="str">
        <f>ENGLISH!L56</f>
        <v/>
      </c>
      <c r="H54" s="59" t="str" cm="1">
        <f t="array" ref="H54">IF(E54&lt;&gt;"", ToRemark(E54), "")</f>
        <v/>
      </c>
      <c r="I54" s="60"/>
      <c r="J54" s="55" t="str">
        <f>IFERROR(ROUND(MATHS!H56,0), "")</f>
        <v/>
      </c>
      <c r="K54" s="55" t="str">
        <f>IFERROR(ROUND(MATHS!J56,0), "")</f>
        <v/>
      </c>
      <c r="L54" s="56" t="str">
        <f t="shared" si="8"/>
        <v/>
      </c>
      <c r="M54" s="57" t="str" cm="1">
        <f t="array" ref="M54">IF(L54&lt;&gt;"", ToGrade(L54), "")</f>
        <v/>
      </c>
      <c r="N54" s="58" t="str">
        <f>MATHS!L56</f>
        <v/>
      </c>
      <c r="O54" s="59" t="str" cm="1">
        <f t="array" ref="O54">IF(L54&lt;&gt;"", ToRemark(L54), "")</f>
        <v/>
      </c>
      <c r="P54" s="60"/>
      <c r="Q54" s="57" t="str">
        <f>IFERROR(ROUND(SCIENCE!H56,0), "")</f>
        <v/>
      </c>
      <c r="R54" s="57" t="str">
        <f>IFERROR(ROUND(SCIENCE!J56,0), "")</f>
        <v/>
      </c>
      <c r="S54" s="56" t="str">
        <f t="shared" si="9"/>
        <v/>
      </c>
      <c r="T54" s="57" t="str" cm="1">
        <f t="array" ref="T54">IF(S54&lt;&gt;"", ToGrade(S54), "")</f>
        <v/>
      </c>
      <c r="U54" s="58" t="str">
        <f>SCIENCE!L56</f>
        <v/>
      </c>
      <c r="V54" s="59" t="str" cm="1">
        <f t="array" ref="V54">IF(S54&lt;&gt;"", ToRemark(S54), "")</f>
        <v/>
      </c>
      <c r="W54" s="60"/>
      <c r="X54" s="57" t="str">
        <f>IFERROR(ROUND(OWOP!H56,0), "")</f>
        <v/>
      </c>
      <c r="Y54" s="57" t="str">
        <f>IFERROR(ROUND(OWOP!J56,0), "")</f>
        <v/>
      </c>
      <c r="Z54" s="56" t="str">
        <f t="shared" si="10"/>
        <v/>
      </c>
      <c r="AA54" s="57" t="str" cm="1">
        <f t="array" ref="AA54">IF(Z54&lt;&gt;"", ToGrade(Z54), "")</f>
        <v/>
      </c>
      <c r="AB54" s="58" t="str">
        <f>OWOP!L56</f>
        <v/>
      </c>
      <c r="AC54" s="59" t="str" cm="1">
        <f t="array" ref="AC54">IF(Z54&lt;&gt;"", ToRemark(Z54), "")</f>
        <v/>
      </c>
      <c r="AD54" s="60"/>
      <c r="AE54" s="57" t="str">
        <f>IFERROR(ROUND('C ARTS'!H56,0), "")</f>
        <v/>
      </c>
      <c r="AF54" s="57" t="str">
        <f>IFERROR(ROUND('C ARTS'!J56,0), "")</f>
        <v/>
      </c>
      <c r="AG54" s="56" t="str">
        <f t="shared" si="11"/>
        <v/>
      </c>
      <c r="AH54" s="57" t="str" cm="1">
        <f t="array" ref="AH54">IF(AG54&lt;&gt;"", ToGrade(AG54), "")</f>
        <v/>
      </c>
      <c r="AI54" s="58" t="str">
        <f>'C ARTS'!L56</f>
        <v/>
      </c>
      <c r="AJ54" s="59" t="str" cm="1">
        <f t="array" ref="AJ54">IF(AG54&lt;&gt;"", ToRemark(AG54), "")</f>
        <v/>
      </c>
      <c r="AK54" s="60"/>
      <c r="AL54" s="57" t="str">
        <f>IFERROR(ROUND('GH LANG'!H56,0), "")</f>
        <v/>
      </c>
      <c r="AM54" s="57" t="str">
        <f>IFERROR(ROUND('GH LANG'!J56,0), "")</f>
        <v/>
      </c>
      <c r="AN54" s="61" t="str">
        <f t="shared" si="12"/>
        <v/>
      </c>
      <c r="AO54" s="57" t="str" cm="1">
        <f t="array" ref="AO54">IF(AN54&lt;&gt;"", ToGrade(AN54), "")</f>
        <v/>
      </c>
      <c r="AP54" s="58" t="str">
        <f>'GH LANG'!L56</f>
        <v/>
      </c>
      <c r="AQ54" s="59" t="str" cm="1">
        <f t="array" ref="AQ54">IF(AN54&lt;&gt;"", ToRemark(AN54), "")</f>
        <v/>
      </c>
      <c r="AR54" s="60"/>
      <c r="AS54" s="57" t="str">
        <f>IFERROR(ROUND(COMPUTING!H56,0), "")</f>
        <v/>
      </c>
      <c r="AT54" s="57" t="str">
        <f>IFERROR(ROUND(COMPUTING!J56,0), "")</f>
        <v/>
      </c>
      <c r="AU54" s="56" t="str">
        <f t="shared" si="13"/>
        <v/>
      </c>
      <c r="AV54" s="57" t="str" cm="1">
        <f t="array" ref="AV54">IF(AU54&lt;&gt;"", ToGrade(AU54), "")</f>
        <v/>
      </c>
      <c r="AW54" s="58" t="str">
        <f>COMPUTING!L56</f>
        <v/>
      </c>
      <c r="AX54" s="59" t="str" cm="1">
        <f t="array" ref="AX54">IF(AU54&lt;&gt;"", ToRemark(AU54), "")</f>
        <v/>
      </c>
      <c r="AY54" s="62"/>
      <c r="AZ54" s="57" t="str">
        <f>IFERROR(ROUND(HISTERY!H56,0), "")</f>
        <v/>
      </c>
      <c r="BA54" s="57" t="str">
        <f>IFERROR(ROUND(HISTERY!J56,0), "")</f>
        <v/>
      </c>
      <c r="BB54" s="56" t="str">
        <f t="shared" si="14"/>
        <v/>
      </c>
      <c r="BC54" s="57" t="str" cm="1">
        <f t="array" ref="BC54">IF(BB54&lt;&gt;"", ToGrade(BB54), "")</f>
        <v/>
      </c>
      <c r="BD54" s="58" t="str">
        <f>HISTERY!L56</f>
        <v/>
      </c>
      <c r="BE54" s="59" t="str" cm="1">
        <f t="array" ref="BE54">IF(BB54&lt;&gt;"", ToRemark(BB54), "")</f>
        <v/>
      </c>
      <c r="BF54" s="60"/>
      <c r="BG54" s="57" t="str">
        <f>IFERROR(ROUND(RME!H56,0), "")</f>
        <v/>
      </c>
      <c r="BH54" s="57" t="str">
        <f>IFERROR(ROUND(RME!J56,0), "")</f>
        <v/>
      </c>
      <c r="BI54" s="56" t="str">
        <f t="shared" si="15"/>
        <v/>
      </c>
      <c r="BJ54" s="57" t="str" cm="1">
        <f t="array" ref="BJ54">IF(BI54&lt;&gt;"", ToGrade(BI54), "")</f>
        <v/>
      </c>
      <c r="BK54" s="58" t="str">
        <f>RME!L56</f>
        <v/>
      </c>
      <c r="BL54" s="59" t="str" cm="1">
        <f t="array" ref="BL54">IF(BI54&lt;&gt;"", ToRemark(BI54), "")</f>
        <v/>
      </c>
      <c r="BM54" s="74"/>
      <c r="BN54" s="97" t="str">
        <f t="shared" si="16"/>
        <v/>
      </c>
      <c r="BO54" s="106" t="str">
        <f t="shared" si="17"/>
        <v/>
      </c>
      <c r="BP54" s="98" t="str" cm="1">
        <f t="array" ref="BP54">IFERROR(OrdinalNumber(_xlfn.RANK.EQ(BN54,$BN$3:$BN$101)), "")</f>
        <v/>
      </c>
      <c r="BQ54" s="104"/>
      <c r="BR54" s="99"/>
      <c r="BS54" s="111"/>
      <c r="BT54" s="83" t="str" cm="1">
        <f t="array" ref="BT54">IF(LEN(B54)&lt;&gt;0, GetTeacherRemark(BO54), "")</f>
        <v/>
      </c>
      <c r="BU54" s="86" t="str">
        <f t="shared" si="18"/>
        <v/>
      </c>
      <c r="BV54" s="86" t="str">
        <f t="shared" si="19"/>
        <v/>
      </c>
      <c r="BW54" s="86" t="str">
        <f t="shared" si="20"/>
        <v/>
      </c>
      <c r="BX54" s="86" t="str">
        <f t="shared" si="21"/>
        <v/>
      </c>
      <c r="BY54" s="115" t="str">
        <f t="shared" si="22"/>
        <v/>
      </c>
      <c r="BZ54" s="87" t="str">
        <f t="shared" si="23"/>
        <v/>
      </c>
      <c r="CA54" s="86" t="str">
        <f t="shared" si="24"/>
        <v/>
      </c>
      <c r="CB54" s="85"/>
    </row>
    <row r="55" spans="1:80" x14ac:dyDescent="0.25">
      <c r="A55" s="53" t="str">
        <v>53</v>
      </c>
      <c r="B55" s="54" t="str">
        <v/>
      </c>
      <c r="C55" s="55" t="str">
        <f>IFERROR(ROUND(ENGLISH!H57,0), "")</f>
        <v/>
      </c>
      <c r="D55" s="55" t="str">
        <f>IFERROR(ROUND(ENGLISH!J57,0), "")</f>
        <v/>
      </c>
      <c r="E55" s="56" t="str">
        <f t="shared" si="7"/>
        <v/>
      </c>
      <c r="F55" s="57" t="str" cm="1">
        <f t="array" ref="F55">IF(E55&lt;&gt;"", ToGrade(E55), "")</f>
        <v/>
      </c>
      <c r="G55" s="58" t="str">
        <f>ENGLISH!L57</f>
        <v/>
      </c>
      <c r="H55" s="59" t="str" cm="1">
        <f t="array" ref="H55">IF(E55&lt;&gt;"", ToRemark(E55), "")</f>
        <v/>
      </c>
      <c r="I55" s="60"/>
      <c r="J55" s="55" t="str">
        <f>IFERROR(ROUND(MATHS!H57,0), "")</f>
        <v/>
      </c>
      <c r="K55" s="55" t="str">
        <f>IFERROR(ROUND(MATHS!J57,0), "")</f>
        <v/>
      </c>
      <c r="L55" s="56" t="str">
        <f t="shared" si="8"/>
        <v/>
      </c>
      <c r="M55" s="57" t="str" cm="1">
        <f t="array" ref="M55">IF(L55&lt;&gt;"", ToGrade(L55), "")</f>
        <v/>
      </c>
      <c r="N55" s="58" t="str">
        <f>MATHS!L57</f>
        <v/>
      </c>
      <c r="O55" s="59" t="str" cm="1">
        <f t="array" ref="O55">IF(L55&lt;&gt;"", ToRemark(L55), "")</f>
        <v/>
      </c>
      <c r="P55" s="60"/>
      <c r="Q55" s="57" t="str">
        <f>IFERROR(ROUND(SCIENCE!H57,0), "")</f>
        <v/>
      </c>
      <c r="R55" s="57" t="str">
        <f>IFERROR(ROUND(SCIENCE!J57,0), "")</f>
        <v/>
      </c>
      <c r="S55" s="56" t="str">
        <f t="shared" si="9"/>
        <v/>
      </c>
      <c r="T55" s="57" t="str" cm="1">
        <f t="array" ref="T55">IF(S55&lt;&gt;"", ToGrade(S55), "")</f>
        <v/>
      </c>
      <c r="U55" s="58" t="str">
        <f>SCIENCE!L57</f>
        <v/>
      </c>
      <c r="V55" s="59" t="str" cm="1">
        <f t="array" ref="V55">IF(S55&lt;&gt;"", ToRemark(S55), "")</f>
        <v/>
      </c>
      <c r="W55" s="60"/>
      <c r="X55" s="57" t="str">
        <f>IFERROR(ROUND(OWOP!H57,0), "")</f>
        <v/>
      </c>
      <c r="Y55" s="57" t="str">
        <f>IFERROR(ROUND(OWOP!J57,0), "")</f>
        <v/>
      </c>
      <c r="Z55" s="56" t="str">
        <f t="shared" si="10"/>
        <v/>
      </c>
      <c r="AA55" s="57" t="str" cm="1">
        <f t="array" ref="AA55">IF(Z55&lt;&gt;"", ToGrade(Z55), "")</f>
        <v/>
      </c>
      <c r="AB55" s="58" t="str">
        <f>OWOP!L57</f>
        <v/>
      </c>
      <c r="AC55" s="59" t="str" cm="1">
        <f t="array" ref="AC55">IF(Z55&lt;&gt;"", ToRemark(Z55), "")</f>
        <v/>
      </c>
      <c r="AD55" s="60"/>
      <c r="AE55" s="57" t="str">
        <f>IFERROR(ROUND('C ARTS'!H57,0), "")</f>
        <v/>
      </c>
      <c r="AF55" s="57" t="str">
        <f>IFERROR(ROUND('C ARTS'!J57,0), "")</f>
        <v/>
      </c>
      <c r="AG55" s="56" t="str">
        <f t="shared" si="11"/>
        <v/>
      </c>
      <c r="AH55" s="57" t="str" cm="1">
        <f t="array" ref="AH55">IF(AG55&lt;&gt;"", ToGrade(AG55), "")</f>
        <v/>
      </c>
      <c r="AI55" s="58" t="str">
        <f>'C ARTS'!L57</f>
        <v/>
      </c>
      <c r="AJ55" s="59" t="str" cm="1">
        <f t="array" ref="AJ55">IF(AG55&lt;&gt;"", ToRemark(AG55), "")</f>
        <v/>
      </c>
      <c r="AK55" s="60"/>
      <c r="AL55" s="57" t="str">
        <f>IFERROR(ROUND('GH LANG'!H57,0), "")</f>
        <v/>
      </c>
      <c r="AM55" s="57" t="str">
        <f>IFERROR(ROUND('GH LANG'!J57,0), "")</f>
        <v/>
      </c>
      <c r="AN55" s="61" t="str">
        <f t="shared" si="12"/>
        <v/>
      </c>
      <c r="AO55" s="57" t="str" cm="1">
        <f t="array" ref="AO55">IF(AN55&lt;&gt;"", ToGrade(AN55), "")</f>
        <v/>
      </c>
      <c r="AP55" s="58" t="str">
        <f>'GH LANG'!L57</f>
        <v/>
      </c>
      <c r="AQ55" s="59" t="str" cm="1">
        <f t="array" ref="AQ55">IF(AN55&lt;&gt;"", ToRemark(AN55), "")</f>
        <v/>
      </c>
      <c r="AR55" s="60"/>
      <c r="AS55" s="57" t="str">
        <f>IFERROR(ROUND(COMPUTING!H57,0), "")</f>
        <v/>
      </c>
      <c r="AT55" s="57" t="str">
        <f>IFERROR(ROUND(COMPUTING!J57,0), "")</f>
        <v/>
      </c>
      <c r="AU55" s="56" t="str">
        <f t="shared" si="13"/>
        <v/>
      </c>
      <c r="AV55" s="57" t="str" cm="1">
        <f t="array" ref="AV55">IF(AU55&lt;&gt;"", ToGrade(AU55), "")</f>
        <v/>
      </c>
      <c r="AW55" s="58" t="str">
        <f>COMPUTING!L57</f>
        <v/>
      </c>
      <c r="AX55" s="59" t="str" cm="1">
        <f t="array" ref="AX55">IF(AU55&lt;&gt;"", ToRemark(AU55), "")</f>
        <v/>
      </c>
      <c r="AY55" s="62"/>
      <c r="AZ55" s="57" t="str">
        <f>IFERROR(ROUND(HISTERY!H57,0), "")</f>
        <v/>
      </c>
      <c r="BA55" s="57" t="str">
        <f>IFERROR(ROUND(HISTERY!J57,0), "")</f>
        <v/>
      </c>
      <c r="BB55" s="56" t="str">
        <f t="shared" si="14"/>
        <v/>
      </c>
      <c r="BC55" s="57" t="str" cm="1">
        <f t="array" ref="BC55">IF(BB55&lt;&gt;"", ToGrade(BB55), "")</f>
        <v/>
      </c>
      <c r="BD55" s="58" t="str">
        <f>HISTERY!L57</f>
        <v/>
      </c>
      <c r="BE55" s="59" t="str" cm="1">
        <f t="array" ref="BE55">IF(BB55&lt;&gt;"", ToRemark(BB55), "")</f>
        <v/>
      </c>
      <c r="BF55" s="60"/>
      <c r="BG55" s="57" t="str">
        <f>IFERROR(ROUND(RME!H57,0), "")</f>
        <v/>
      </c>
      <c r="BH55" s="57" t="str">
        <f>IFERROR(ROUND(RME!J57,0), "")</f>
        <v/>
      </c>
      <c r="BI55" s="56" t="str">
        <f t="shared" si="15"/>
        <v/>
      </c>
      <c r="BJ55" s="57" t="str" cm="1">
        <f t="array" ref="BJ55">IF(BI55&lt;&gt;"", ToGrade(BI55), "")</f>
        <v/>
      </c>
      <c r="BK55" s="58" t="str">
        <f>RME!L57</f>
        <v/>
      </c>
      <c r="BL55" s="59" t="str" cm="1">
        <f t="array" ref="BL55">IF(BI55&lt;&gt;"", ToRemark(BI55), "")</f>
        <v/>
      </c>
      <c r="BM55" s="74"/>
      <c r="BN55" s="97" t="str">
        <f t="shared" si="16"/>
        <v/>
      </c>
      <c r="BO55" s="106" t="str">
        <f t="shared" si="17"/>
        <v/>
      </c>
      <c r="BP55" s="98" t="str" cm="1">
        <f t="array" ref="BP55">IFERROR(OrdinalNumber(_xlfn.RANK.EQ(BN55,$BN$3:$BN$101)), "")</f>
        <v/>
      </c>
      <c r="BQ55" s="104"/>
      <c r="BR55" s="99"/>
      <c r="BS55" s="111"/>
      <c r="BT55" s="83" t="str" cm="1">
        <f t="array" ref="BT55">IF(LEN(B55)&lt;&gt;0, GetTeacherRemark(BO55), "")</f>
        <v/>
      </c>
      <c r="BU55" s="86" t="str">
        <f t="shared" si="18"/>
        <v/>
      </c>
      <c r="BV55" s="86" t="str">
        <f t="shared" si="19"/>
        <v/>
      </c>
      <c r="BW55" s="86" t="str">
        <f t="shared" si="20"/>
        <v/>
      </c>
      <c r="BX55" s="86" t="str">
        <f t="shared" si="21"/>
        <v/>
      </c>
      <c r="BY55" s="115" t="str">
        <f t="shared" si="22"/>
        <v/>
      </c>
      <c r="BZ55" s="87" t="str">
        <f t="shared" si="23"/>
        <v/>
      </c>
      <c r="CA55" s="86" t="str">
        <f t="shared" si="24"/>
        <v/>
      </c>
      <c r="CB55" s="85"/>
    </row>
    <row r="56" spans="1:80" x14ac:dyDescent="0.25">
      <c r="A56" s="53" t="str">
        <v>54</v>
      </c>
      <c r="B56" s="54" t="str">
        <v/>
      </c>
      <c r="C56" s="55" t="str">
        <f>IFERROR(ROUND(ENGLISH!H58,0), "")</f>
        <v/>
      </c>
      <c r="D56" s="55" t="str">
        <f>IFERROR(ROUND(ENGLISH!J58,0), "")</f>
        <v/>
      </c>
      <c r="E56" s="56" t="str">
        <f t="shared" si="7"/>
        <v/>
      </c>
      <c r="F56" s="57" t="str" cm="1">
        <f t="array" ref="F56">IF(E56&lt;&gt;"", ToGrade(E56), "")</f>
        <v/>
      </c>
      <c r="G56" s="58" t="str">
        <f>ENGLISH!L58</f>
        <v/>
      </c>
      <c r="H56" s="59" t="str" cm="1">
        <f t="array" ref="H56">IF(E56&lt;&gt;"", ToRemark(E56), "")</f>
        <v/>
      </c>
      <c r="I56" s="60"/>
      <c r="J56" s="55" t="str">
        <f>IFERROR(ROUND(MATHS!H58,0), "")</f>
        <v/>
      </c>
      <c r="K56" s="55" t="str">
        <f>IFERROR(ROUND(MATHS!J58,0), "")</f>
        <v/>
      </c>
      <c r="L56" s="56" t="str">
        <f t="shared" si="8"/>
        <v/>
      </c>
      <c r="M56" s="57" t="str" cm="1">
        <f t="array" ref="M56">IF(L56&lt;&gt;"", ToGrade(L56), "")</f>
        <v/>
      </c>
      <c r="N56" s="58" t="str">
        <f>MATHS!L58</f>
        <v/>
      </c>
      <c r="O56" s="59" t="str" cm="1">
        <f t="array" ref="O56">IF(L56&lt;&gt;"", ToRemark(L56), "")</f>
        <v/>
      </c>
      <c r="P56" s="60"/>
      <c r="Q56" s="57" t="str">
        <f>IFERROR(ROUND(SCIENCE!H58,0), "")</f>
        <v/>
      </c>
      <c r="R56" s="57" t="str">
        <f>IFERROR(ROUND(SCIENCE!J58,0), "")</f>
        <v/>
      </c>
      <c r="S56" s="56" t="str">
        <f t="shared" si="9"/>
        <v/>
      </c>
      <c r="T56" s="57" t="str" cm="1">
        <f t="array" ref="T56">IF(S56&lt;&gt;"", ToGrade(S56), "")</f>
        <v/>
      </c>
      <c r="U56" s="58" t="str">
        <f>SCIENCE!L58</f>
        <v/>
      </c>
      <c r="V56" s="59" t="str" cm="1">
        <f t="array" ref="V56">IF(S56&lt;&gt;"", ToRemark(S56), "")</f>
        <v/>
      </c>
      <c r="W56" s="60"/>
      <c r="X56" s="57" t="str">
        <f>IFERROR(ROUND(OWOP!H58,0), "")</f>
        <v/>
      </c>
      <c r="Y56" s="57" t="str">
        <f>IFERROR(ROUND(OWOP!J58,0), "")</f>
        <v/>
      </c>
      <c r="Z56" s="56" t="str">
        <f t="shared" si="10"/>
        <v/>
      </c>
      <c r="AA56" s="57" t="str" cm="1">
        <f t="array" ref="AA56">IF(Z56&lt;&gt;"", ToGrade(Z56), "")</f>
        <v/>
      </c>
      <c r="AB56" s="58" t="str">
        <f>OWOP!L58</f>
        <v/>
      </c>
      <c r="AC56" s="59" t="str" cm="1">
        <f t="array" ref="AC56">IF(Z56&lt;&gt;"", ToRemark(Z56), "")</f>
        <v/>
      </c>
      <c r="AD56" s="60"/>
      <c r="AE56" s="57" t="str">
        <f>IFERROR(ROUND('C ARTS'!H58,0), "")</f>
        <v/>
      </c>
      <c r="AF56" s="57" t="str">
        <f>IFERROR(ROUND('C ARTS'!J58,0), "")</f>
        <v/>
      </c>
      <c r="AG56" s="56" t="str">
        <f t="shared" si="11"/>
        <v/>
      </c>
      <c r="AH56" s="57" t="str" cm="1">
        <f t="array" ref="AH56">IF(AG56&lt;&gt;"", ToGrade(AG56), "")</f>
        <v/>
      </c>
      <c r="AI56" s="58" t="str">
        <f>'C ARTS'!L58</f>
        <v/>
      </c>
      <c r="AJ56" s="59" t="str" cm="1">
        <f t="array" ref="AJ56">IF(AG56&lt;&gt;"", ToRemark(AG56), "")</f>
        <v/>
      </c>
      <c r="AK56" s="60"/>
      <c r="AL56" s="57" t="str">
        <f>IFERROR(ROUND('GH LANG'!H58,0), "")</f>
        <v/>
      </c>
      <c r="AM56" s="57" t="str">
        <f>IFERROR(ROUND('GH LANG'!J58,0), "")</f>
        <v/>
      </c>
      <c r="AN56" s="61" t="str">
        <f t="shared" si="12"/>
        <v/>
      </c>
      <c r="AO56" s="57" t="str" cm="1">
        <f t="array" ref="AO56">IF(AN56&lt;&gt;"", ToGrade(AN56), "")</f>
        <v/>
      </c>
      <c r="AP56" s="58" t="str">
        <f>'GH LANG'!L58</f>
        <v/>
      </c>
      <c r="AQ56" s="59" t="str" cm="1">
        <f t="array" ref="AQ56">IF(AN56&lt;&gt;"", ToRemark(AN56), "")</f>
        <v/>
      </c>
      <c r="AR56" s="60"/>
      <c r="AS56" s="57" t="str">
        <f>IFERROR(ROUND(COMPUTING!H58,0), "")</f>
        <v/>
      </c>
      <c r="AT56" s="57" t="str">
        <f>IFERROR(ROUND(COMPUTING!J58,0), "")</f>
        <v/>
      </c>
      <c r="AU56" s="56" t="str">
        <f t="shared" si="13"/>
        <v/>
      </c>
      <c r="AV56" s="57" t="str" cm="1">
        <f t="array" ref="AV56">IF(AU56&lt;&gt;"", ToGrade(AU56), "")</f>
        <v/>
      </c>
      <c r="AW56" s="58" t="str">
        <f>COMPUTING!L58</f>
        <v/>
      </c>
      <c r="AX56" s="59" t="str" cm="1">
        <f t="array" ref="AX56">IF(AU56&lt;&gt;"", ToRemark(AU56), "")</f>
        <v/>
      </c>
      <c r="AY56" s="62"/>
      <c r="AZ56" s="57" t="str">
        <f>IFERROR(ROUND(HISTERY!H58,0), "")</f>
        <v/>
      </c>
      <c r="BA56" s="57" t="str">
        <f>IFERROR(ROUND(HISTERY!J58,0), "")</f>
        <v/>
      </c>
      <c r="BB56" s="56" t="str">
        <f t="shared" si="14"/>
        <v/>
      </c>
      <c r="BC56" s="57" t="str" cm="1">
        <f t="array" ref="BC56">IF(BB56&lt;&gt;"", ToGrade(BB56), "")</f>
        <v/>
      </c>
      <c r="BD56" s="58" t="str">
        <f>HISTERY!L58</f>
        <v/>
      </c>
      <c r="BE56" s="59" t="str" cm="1">
        <f t="array" ref="BE56">IF(BB56&lt;&gt;"", ToRemark(BB56), "")</f>
        <v/>
      </c>
      <c r="BF56" s="60"/>
      <c r="BG56" s="57" t="str">
        <f>IFERROR(ROUND(RME!H58,0), "")</f>
        <v/>
      </c>
      <c r="BH56" s="57" t="str">
        <f>IFERROR(ROUND(RME!J58,0), "")</f>
        <v/>
      </c>
      <c r="BI56" s="56" t="str">
        <f t="shared" si="15"/>
        <v/>
      </c>
      <c r="BJ56" s="57" t="str" cm="1">
        <f t="array" ref="BJ56">IF(BI56&lt;&gt;"", ToGrade(BI56), "")</f>
        <v/>
      </c>
      <c r="BK56" s="58" t="str">
        <f>RME!L58</f>
        <v/>
      </c>
      <c r="BL56" s="59" t="str" cm="1">
        <f t="array" ref="BL56">IF(BI56&lt;&gt;"", ToRemark(BI56), "")</f>
        <v/>
      </c>
      <c r="BM56" s="74"/>
      <c r="BN56" s="97" t="str">
        <f t="shared" si="16"/>
        <v/>
      </c>
      <c r="BO56" s="106" t="str">
        <f t="shared" si="17"/>
        <v/>
      </c>
      <c r="BP56" s="98" t="str" cm="1">
        <f t="array" ref="BP56">IFERROR(OrdinalNumber(_xlfn.RANK.EQ(BN56,$BN$3:$BN$101)), "")</f>
        <v/>
      </c>
      <c r="BQ56" s="104"/>
      <c r="BR56" s="99"/>
      <c r="BS56" s="111"/>
      <c r="BT56" s="83" t="str" cm="1">
        <f t="array" ref="BT56">IF(LEN(B56)&lt;&gt;0, GetTeacherRemark(BO56), "")</f>
        <v/>
      </c>
      <c r="BU56" s="86" t="str">
        <f t="shared" si="18"/>
        <v/>
      </c>
      <c r="BV56" s="86" t="str">
        <f t="shared" si="19"/>
        <v/>
      </c>
      <c r="BW56" s="86" t="str">
        <f t="shared" si="20"/>
        <v/>
      </c>
      <c r="BX56" s="86" t="str">
        <f t="shared" si="21"/>
        <v/>
      </c>
      <c r="BY56" s="115" t="str">
        <f t="shared" si="22"/>
        <v/>
      </c>
      <c r="BZ56" s="87" t="str">
        <f t="shared" si="23"/>
        <v/>
      </c>
      <c r="CA56" s="86" t="str">
        <f t="shared" si="24"/>
        <v/>
      </c>
      <c r="CB56" s="85"/>
    </row>
    <row r="57" spans="1:80" x14ac:dyDescent="0.25">
      <c r="A57" s="53" t="str">
        <v>55</v>
      </c>
      <c r="B57" s="54" t="str">
        <v/>
      </c>
      <c r="C57" s="55" t="str">
        <f>IFERROR(ROUND(ENGLISH!H59,0), "")</f>
        <v/>
      </c>
      <c r="D57" s="55" t="str">
        <f>IFERROR(ROUND(ENGLISH!J59,0), "")</f>
        <v/>
      </c>
      <c r="E57" s="56" t="str">
        <f t="shared" si="7"/>
        <v/>
      </c>
      <c r="F57" s="57" t="str" cm="1">
        <f t="array" ref="F57">IF(E57&lt;&gt;"", ToGrade(E57), "")</f>
        <v/>
      </c>
      <c r="G57" s="58" t="str">
        <f>ENGLISH!L59</f>
        <v/>
      </c>
      <c r="H57" s="59" t="str" cm="1">
        <f t="array" ref="H57">IF(E57&lt;&gt;"", ToRemark(E57), "")</f>
        <v/>
      </c>
      <c r="I57" s="60"/>
      <c r="J57" s="55" t="str">
        <f>IFERROR(ROUND(MATHS!H59,0), "")</f>
        <v/>
      </c>
      <c r="K57" s="55" t="str">
        <f>IFERROR(ROUND(MATHS!J59,0), "")</f>
        <v/>
      </c>
      <c r="L57" s="56" t="str">
        <f t="shared" si="8"/>
        <v/>
      </c>
      <c r="M57" s="57" t="str" cm="1">
        <f t="array" ref="M57">IF(L57&lt;&gt;"", ToGrade(L57), "")</f>
        <v/>
      </c>
      <c r="N57" s="58" t="str">
        <f>MATHS!L59</f>
        <v/>
      </c>
      <c r="O57" s="59" t="str" cm="1">
        <f t="array" ref="O57">IF(L57&lt;&gt;"", ToRemark(L57), "")</f>
        <v/>
      </c>
      <c r="P57" s="60"/>
      <c r="Q57" s="57" t="str">
        <f>IFERROR(ROUND(SCIENCE!H59,0), "")</f>
        <v/>
      </c>
      <c r="R57" s="57" t="str">
        <f>IFERROR(ROUND(SCIENCE!J59,0), "")</f>
        <v/>
      </c>
      <c r="S57" s="56" t="str">
        <f t="shared" si="9"/>
        <v/>
      </c>
      <c r="T57" s="57" t="str" cm="1">
        <f t="array" ref="T57">IF(S57&lt;&gt;"", ToGrade(S57), "")</f>
        <v/>
      </c>
      <c r="U57" s="58" t="str">
        <f>SCIENCE!L59</f>
        <v/>
      </c>
      <c r="V57" s="59" t="str" cm="1">
        <f t="array" ref="V57">IF(S57&lt;&gt;"", ToRemark(S57), "")</f>
        <v/>
      </c>
      <c r="W57" s="60"/>
      <c r="X57" s="57" t="str">
        <f>IFERROR(ROUND(OWOP!H59,0), "")</f>
        <v/>
      </c>
      <c r="Y57" s="57" t="str">
        <f>IFERROR(ROUND(OWOP!J59,0), "")</f>
        <v/>
      </c>
      <c r="Z57" s="56" t="str">
        <f t="shared" si="10"/>
        <v/>
      </c>
      <c r="AA57" s="57" t="str" cm="1">
        <f t="array" ref="AA57">IF(Z57&lt;&gt;"", ToGrade(Z57), "")</f>
        <v/>
      </c>
      <c r="AB57" s="58" t="str">
        <f>OWOP!L59</f>
        <v/>
      </c>
      <c r="AC57" s="59" t="str" cm="1">
        <f t="array" ref="AC57">IF(Z57&lt;&gt;"", ToRemark(Z57), "")</f>
        <v/>
      </c>
      <c r="AD57" s="60"/>
      <c r="AE57" s="57" t="str">
        <f>IFERROR(ROUND('C ARTS'!H59,0), "")</f>
        <v/>
      </c>
      <c r="AF57" s="57" t="str">
        <f>IFERROR(ROUND('C ARTS'!J59,0), "")</f>
        <v/>
      </c>
      <c r="AG57" s="56" t="str">
        <f t="shared" si="11"/>
        <v/>
      </c>
      <c r="AH57" s="57" t="str" cm="1">
        <f t="array" ref="AH57">IF(AG57&lt;&gt;"", ToGrade(AG57), "")</f>
        <v/>
      </c>
      <c r="AI57" s="58" t="str">
        <f>'C ARTS'!L59</f>
        <v/>
      </c>
      <c r="AJ57" s="59" t="str" cm="1">
        <f t="array" ref="AJ57">IF(AG57&lt;&gt;"", ToRemark(AG57), "")</f>
        <v/>
      </c>
      <c r="AK57" s="60"/>
      <c r="AL57" s="57" t="str">
        <f>IFERROR(ROUND('GH LANG'!H59,0), "")</f>
        <v/>
      </c>
      <c r="AM57" s="57" t="str">
        <f>IFERROR(ROUND('GH LANG'!J59,0), "")</f>
        <v/>
      </c>
      <c r="AN57" s="61" t="str">
        <f t="shared" si="12"/>
        <v/>
      </c>
      <c r="AO57" s="57" t="str" cm="1">
        <f t="array" ref="AO57">IF(AN57&lt;&gt;"", ToGrade(AN57), "")</f>
        <v/>
      </c>
      <c r="AP57" s="58" t="str">
        <f>'GH LANG'!L59</f>
        <v/>
      </c>
      <c r="AQ57" s="59" t="str" cm="1">
        <f t="array" ref="AQ57">IF(AN57&lt;&gt;"", ToRemark(AN57), "")</f>
        <v/>
      </c>
      <c r="AR57" s="60"/>
      <c r="AS57" s="57" t="str">
        <f>IFERROR(ROUND(COMPUTING!H59,0), "")</f>
        <v/>
      </c>
      <c r="AT57" s="57" t="str">
        <f>IFERROR(ROUND(COMPUTING!J59,0), "")</f>
        <v/>
      </c>
      <c r="AU57" s="56" t="str">
        <f t="shared" si="13"/>
        <v/>
      </c>
      <c r="AV57" s="57" t="str" cm="1">
        <f t="array" ref="AV57">IF(AU57&lt;&gt;"", ToGrade(AU57), "")</f>
        <v/>
      </c>
      <c r="AW57" s="58" t="str">
        <f>COMPUTING!L59</f>
        <v/>
      </c>
      <c r="AX57" s="59" t="str" cm="1">
        <f t="array" ref="AX57">IF(AU57&lt;&gt;"", ToRemark(AU57), "")</f>
        <v/>
      </c>
      <c r="AY57" s="62"/>
      <c r="AZ57" s="57" t="str">
        <f>IFERROR(ROUND(HISTERY!H59,0), "")</f>
        <v/>
      </c>
      <c r="BA57" s="57" t="str">
        <f>IFERROR(ROUND(HISTERY!J59,0), "")</f>
        <v/>
      </c>
      <c r="BB57" s="56" t="str">
        <f t="shared" si="14"/>
        <v/>
      </c>
      <c r="BC57" s="57" t="str" cm="1">
        <f t="array" ref="BC57">IF(BB57&lt;&gt;"", ToGrade(BB57), "")</f>
        <v/>
      </c>
      <c r="BD57" s="58" t="str">
        <f>HISTERY!L59</f>
        <v/>
      </c>
      <c r="BE57" s="59" t="str" cm="1">
        <f t="array" ref="BE57">IF(BB57&lt;&gt;"", ToRemark(BB57), "")</f>
        <v/>
      </c>
      <c r="BF57" s="60"/>
      <c r="BG57" s="57" t="str">
        <f>IFERROR(ROUND(RME!H59,0), "")</f>
        <v/>
      </c>
      <c r="BH57" s="57" t="str">
        <f>IFERROR(ROUND(RME!J59,0), "")</f>
        <v/>
      </c>
      <c r="BI57" s="56" t="str">
        <f t="shared" si="15"/>
        <v/>
      </c>
      <c r="BJ57" s="57" t="str" cm="1">
        <f t="array" ref="BJ57">IF(BI57&lt;&gt;"", ToGrade(BI57), "")</f>
        <v/>
      </c>
      <c r="BK57" s="58" t="str">
        <f>RME!L59</f>
        <v/>
      </c>
      <c r="BL57" s="59" t="str" cm="1">
        <f t="array" ref="BL57">IF(BI57&lt;&gt;"", ToRemark(BI57), "")</f>
        <v/>
      </c>
      <c r="BM57" s="74"/>
      <c r="BN57" s="97" t="str">
        <f t="shared" si="16"/>
        <v/>
      </c>
      <c r="BO57" s="106" t="str">
        <f t="shared" si="17"/>
        <v/>
      </c>
      <c r="BP57" s="98" t="str" cm="1">
        <f t="array" ref="BP57">IFERROR(OrdinalNumber(_xlfn.RANK.EQ(BN57,$BN$3:$BN$101)), "")</f>
        <v/>
      </c>
      <c r="BQ57" s="104"/>
      <c r="BR57" s="99"/>
      <c r="BS57" s="111"/>
      <c r="BT57" s="83" t="str" cm="1">
        <f t="array" ref="BT57">IF(LEN(B57)&lt;&gt;0, GetTeacherRemark(BO57), "")</f>
        <v/>
      </c>
      <c r="BU57" s="86" t="str">
        <f t="shared" si="18"/>
        <v/>
      </c>
      <c r="BV57" s="86" t="str">
        <f t="shared" si="19"/>
        <v/>
      </c>
      <c r="BW57" s="86" t="str">
        <f t="shared" si="20"/>
        <v/>
      </c>
      <c r="BX57" s="86" t="str">
        <f t="shared" si="21"/>
        <v/>
      </c>
      <c r="BY57" s="115" t="str">
        <f t="shared" si="22"/>
        <v/>
      </c>
      <c r="BZ57" s="87" t="str">
        <f t="shared" si="23"/>
        <v/>
      </c>
      <c r="CA57" s="86" t="str">
        <f t="shared" si="24"/>
        <v/>
      </c>
      <c r="CB57" s="85"/>
    </row>
    <row r="58" spans="1:80" x14ac:dyDescent="0.25">
      <c r="A58" s="53" t="str">
        <v>56</v>
      </c>
      <c r="B58" s="54" t="str">
        <v/>
      </c>
      <c r="C58" s="55" t="str">
        <f>IFERROR(ROUND(ENGLISH!H60,0), "")</f>
        <v/>
      </c>
      <c r="D58" s="55" t="str">
        <f>IFERROR(ROUND(ENGLISH!J60,0), "")</f>
        <v/>
      </c>
      <c r="E58" s="56" t="str">
        <f t="shared" si="7"/>
        <v/>
      </c>
      <c r="F58" s="57" t="str" cm="1">
        <f t="array" ref="F58">IF(E58&lt;&gt;"", ToGrade(E58), "")</f>
        <v/>
      </c>
      <c r="G58" s="58" t="str">
        <f>ENGLISH!L60</f>
        <v/>
      </c>
      <c r="H58" s="59" t="str" cm="1">
        <f t="array" ref="H58">IF(E58&lt;&gt;"", ToRemark(E58), "")</f>
        <v/>
      </c>
      <c r="I58" s="60"/>
      <c r="J58" s="55" t="str">
        <f>IFERROR(ROUND(MATHS!H60,0), "")</f>
        <v/>
      </c>
      <c r="K58" s="55" t="str">
        <f>IFERROR(ROUND(MATHS!J60,0), "")</f>
        <v/>
      </c>
      <c r="L58" s="56" t="str">
        <f t="shared" si="8"/>
        <v/>
      </c>
      <c r="M58" s="57" t="str" cm="1">
        <f t="array" ref="M58">IF(L58&lt;&gt;"", ToGrade(L58), "")</f>
        <v/>
      </c>
      <c r="N58" s="58" t="str">
        <f>MATHS!L60</f>
        <v/>
      </c>
      <c r="O58" s="59" t="str" cm="1">
        <f t="array" ref="O58">IF(L58&lt;&gt;"", ToRemark(L58), "")</f>
        <v/>
      </c>
      <c r="P58" s="60"/>
      <c r="Q58" s="57" t="str">
        <f>IFERROR(ROUND(SCIENCE!H60,0), "")</f>
        <v/>
      </c>
      <c r="R58" s="57" t="str">
        <f>IFERROR(ROUND(SCIENCE!J60,0), "")</f>
        <v/>
      </c>
      <c r="S58" s="56" t="str">
        <f t="shared" si="9"/>
        <v/>
      </c>
      <c r="T58" s="57" t="str" cm="1">
        <f t="array" ref="T58">IF(S58&lt;&gt;"", ToGrade(S58), "")</f>
        <v/>
      </c>
      <c r="U58" s="58" t="str">
        <f>SCIENCE!L60</f>
        <v/>
      </c>
      <c r="V58" s="59" t="str" cm="1">
        <f t="array" ref="V58">IF(S58&lt;&gt;"", ToRemark(S58), "")</f>
        <v/>
      </c>
      <c r="W58" s="60"/>
      <c r="X58" s="57" t="str">
        <f>IFERROR(ROUND(OWOP!H60,0), "")</f>
        <v/>
      </c>
      <c r="Y58" s="57" t="str">
        <f>IFERROR(ROUND(OWOP!J60,0), "")</f>
        <v/>
      </c>
      <c r="Z58" s="56" t="str">
        <f t="shared" si="10"/>
        <v/>
      </c>
      <c r="AA58" s="57" t="str" cm="1">
        <f t="array" ref="AA58">IF(Z58&lt;&gt;"", ToGrade(Z58), "")</f>
        <v/>
      </c>
      <c r="AB58" s="58" t="str">
        <f>OWOP!L60</f>
        <v/>
      </c>
      <c r="AC58" s="59" t="str" cm="1">
        <f t="array" ref="AC58">IF(Z58&lt;&gt;"", ToRemark(Z58), "")</f>
        <v/>
      </c>
      <c r="AD58" s="60"/>
      <c r="AE58" s="57" t="str">
        <f>IFERROR(ROUND('C ARTS'!H60,0), "")</f>
        <v/>
      </c>
      <c r="AF58" s="57" t="str">
        <f>IFERROR(ROUND('C ARTS'!J60,0), "")</f>
        <v/>
      </c>
      <c r="AG58" s="56" t="str">
        <f t="shared" si="11"/>
        <v/>
      </c>
      <c r="AH58" s="57" t="str" cm="1">
        <f t="array" ref="AH58">IF(AG58&lt;&gt;"", ToGrade(AG58), "")</f>
        <v/>
      </c>
      <c r="AI58" s="58" t="str">
        <f>'C ARTS'!L60</f>
        <v/>
      </c>
      <c r="AJ58" s="59" t="str" cm="1">
        <f t="array" ref="AJ58">IF(AG58&lt;&gt;"", ToRemark(AG58), "")</f>
        <v/>
      </c>
      <c r="AK58" s="60"/>
      <c r="AL58" s="57" t="str">
        <f>IFERROR(ROUND('GH LANG'!H60,0), "")</f>
        <v/>
      </c>
      <c r="AM58" s="57" t="str">
        <f>IFERROR(ROUND('GH LANG'!J60,0), "")</f>
        <v/>
      </c>
      <c r="AN58" s="61" t="str">
        <f t="shared" si="12"/>
        <v/>
      </c>
      <c r="AO58" s="57" t="str" cm="1">
        <f t="array" ref="AO58">IF(AN58&lt;&gt;"", ToGrade(AN58), "")</f>
        <v/>
      </c>
      <c r="AP58" s="58" t="str">
        <f>'GH LANG'!L60</f>
        <v/>
      </c>
      <c r="AQ58" s="59" t="str" cm="1">
        <f t="array" ref="AQ58">IF(AN58&lt;&gt;"", ToRemark(AN58), "")</f>
        <v/>
      </c>
      <c r="AR58" s="60"/>
      <c r="AS58" s="57" t="str">
        <f>IFERROR(ROUND(COMPUTING!H60,0), "")</f>
        <v/>
      </c>
      <c r="AT58" s="57" t="str">
        <f>IFERROR(ROUND(COMPUTING!J60,0), "")</f>
        <v/>
      </c>
      <c r="AU58" s="56" t="str">
        <f t="shared" si="13"/>
        <v/>
      </c>
      <c r="AV58" s="57" t="str" cm="1">
        <f t="array" ref="AV58">IF(AU58&lt;&gt;"", ToGrade(AU58), "")</f>
        <v/>
      </c>
      <c r="AW58" s="58" t="str">
        <f>COMPUTING!L60</f>
        <v/>
      </c>
      <c r="AX58" s="59" t="str" cm="1">
        <f t="array" ref="AX58">IF(AU58&lt;&gt;"", ToRemark(AU58), "")</f>
        <v/>
      </c>
      <c r="AY58" s="62"/>
      <c r="AZ58" s="57" t="str">
        <f>IFERROR(ROUND(HISTERY!H60,0), "")</f>
        <v/>
      </c>
      <c r="BA58" s="57" t="str">
        <f>IFERROR(ROUND(HISTERY!J60,0), "")</f>
        <v/>
      </c>
      <c r="BB58" s="56" t="str">
        <f t="shared" si="14"/>
        <v/>
      </c>
      <c r="BC58" s="57" t="str" cm="1">
        <f t="array" ref="BC58">IF(BB58&lt;&gt;"", ToGrade(BB58), "")</f>
        <v/>
      </c>
      <c r="BD58" s="58" t="str">
        <f>HISTERY!L60</f>
        <v/>
      </c>
      <c r="BE58" s="59" t="str" cm="1">
        <f t="array" ref="BE58">IF(BB58&lt;&gt;"", ToRemark(BB58), "")</f>
        <v/>
      </c>
      <c r="BF58" s="60"/>
      <c r="BG58" s="57" t="str">
        <f>IFERROR(ROUND(RME!H60,0), "")</f>
        <v/>
      </c>
      <c r="BH58" s="57" t="str">
        <f>IFERROR(ROUND(RME!J60,0), "")</f>
        <v/>
      </c>
      <c r="BI58" s="56" t="str">
        <f t="shared" si="15"/>
        <v/>
      </c>
      <c r="BJ58" s="57" t="str" cm="1">
        <f t="array" ref="BJ58">IF(BI58&lt;&gt;"", ToGrade(BI58), "")</f>
        <v/>
      </c>
      <c r="BK58" s="58" t="str">
        <f>RME!L60</f>
        <v/>
      </c>
      <c r="BL58" s="59" t="str" cm="1">
        <f t="array" ref="BL58">IF(BI58&lt;&gt;"", ToRemark(BI58), "")</f>
        <v/>
      </c>
      <c r="BM58" s="74"/>
      <c r="BN58" s="97" t="str">
        <f t="shared" si="16"/>
        <v/>
      </c>
      <c r="BO58" s="106" t="str">
        <f t="shared" si="17"/>
        <v/>
      </c>
      <c r="BP58" s="98" t="str" cm="1">
        <f t="array" ref="BP58">IFERROR(OrdinalNumber(_xlfn.RANK.EQ(BN58,$BN$3:$BN$101)), "")</f>
        <v/>
      </c>
      <c r="BQ58" s="104"/>
      <c r="BR58" s="99"/>
      <c r="BS58" s="111"/>
      <c r="BT58" s="83" t="str" cm="1">
        <f t="array" ref="BT58">IF(LEN(B58)&lt;&gt;0, GetTeacherRemark(BO58), "")</f>
        <v/>
      </c>
      <c r="BU58" s="86" t="str">
        <f t="shared" si="18"/>
        <v/>
      </c>
      <c r="BV58" s="86" t="str">
        <f t="shared" si="19"/>
        <v/>
      </c>
      <c r="BW58" s="86" t="str">
        <f t="shared" si="20"/>
        <v/>
      </c>
      <c r="BX58" s="86" t="str">
        <f t="shared" si="21"/>
        <v/>
      </c>
      <c r="BY58" s="115" t="str">
        <f t="shared" si="22"/>
        <v/>
      </c>
      <c r="BZ58" s="87" t="str">
        <f t="shared" si="23"/>
        <v/>
      </c>
      <c r="CA58" s="86" t="str">
        <f t="shared" si="24"/>
        <v/>
      </c>
      <c r="CB58" s="85"/>
    </row>
    <row r="59" spans="1:80" x14ac:dyDescent="0.25">
      <c r="A59" s="53" t="str">
        <v>57</v>
      </c>
      <c r="B59" s="54" t="str">
        <v/>
      </c>
      <c r="C59" s="55" t="str">
        <f>IFERROR(ROUND(ENGLISH!H61,0), "")</f>
        <v/>
      </c>
      <c r="D59" s="55" t="str">
        <f>IFERROR(ROUND(ENGLISH!J61,0), "")</f>
        <v/>
      </c>
      <c r="E59" s="56" t="str">
        <f t="shared" si="7"/>
        <v/>
      </c>
      <c r="F59" s="57" t="str" cm="1">
        <f t="array" ref="F59">IF(E59&lt;&gt;"", ToGrade(E59), "")</f>
        <v/>
      </c>
      <c r="G59" s="58" t="str">
        <f>ENGLISH!L61</f>
        <v/>
      </c>
      <c r="H59" s="59" t="str" cm="1">
        <f t="array" ref="H59">IF(E59&lt;&gt;"", ToRemark(E59), "")</f>
        <v/>
      </c>
      <c r="I59" s="60"/>
      <c r="J59" s="55" t="str">
        <f>IFERROR(ROUND(MATHS!H61,0), "")</f>
        <v/>
      </c>
      <c r="K59" s="55" t="str">
        <f>IFERROR(ROUND(MATHS!J61,0), "")</f>
        <v/>
      </c>
      <c r="L59" s="56" t="str">
        <f t="shared" si="8"/>
        <v/>
      </c>
      <c r="M59" s="57" t="str" cm="1">
        <f t="array" ref="M59">IF(L59&lt;&gt;"", ToGrade(L59), "")</f>
        <v/>
      </c>
      <c r="N59" s="58" t="str">
        <f>MATHS!L61</f>
        <v/>
      </c>
      <c r="O59" s="59" t="str" cm="1">
        <f t="array" ref="O59">IF(L59&lt;&gt;"", ToRemark(L59), "")</f>
        <v/>
      </c>
      <c r="P59" s="60"/>
      <c r="Q59" s="57" t="str">
        <f>IFERROR(ROUND(SCIENCE!H61,0), "")</f>
        <v/>
      </c>
      <c r="R59" s="57" t="str">
        <f>IFERROR(ROUND(SCIENCE!J61,0), "")</f>
        <v/>
      </c>
      <c r="S59" s="56" t="str">
        <f t="shared" si="9"/>
        <v/>
      </c>
      <c r="T59" s="57" t="str" cm="1">
        <f t="array" ref="T59">IF(S59&lt;&gt;"", ToGrade(S59), "")</f>
        <v/>
      </c>
      <c r="U59" s="58" t="str">
        <f>SCIENCE!L61</f>
        <v/>
      </c>
      <c r="V59" s="59" t="str" cm="1">
        <f t="array" ref="V59">IF(S59&lt;&gt;"", ToRemark(S59), "")</f>
        <v/>
      </c>
      <c r="W59" s="60"/>
      <c r="X59" s="57" t="str">
        <f>IFERROR(ROUND(OWOP!H61,0), "")</f>
        <v/>
      </c>
      <c r="Y59" s="57" t="str">
        <f>IFERROR(ROUND(OWOP!J61,0), "")</f>
        <v/>
      </c>
      <c r="Z59" s="56" t="str">
        <f t="shared" si="10"/>
        <v/>
      </c>
      <c r="AA59" s="57" t="str" cm="1">
        <f t="array" ref="AA59">IF(Z59&lt;&gt;"", ToGrade(Z59), "")</f>
        <v/>
      </c>
      <c r="AB59" s="58" t="str">
        <f>OWOP!L61</f>
        <v/>
      </c>
      <c r="AC59" s="59" t="str" cm="1">
        <f t="array" ref="AC59">IF(Z59&lt;&gt;"", ToRemark(Z59), "")</f>
        <v/>
      </c>
      <c r="AD59" s="60"/>
      <c r="AE59" s="57" t="str">
        <f>IFERROR(ROUND('C ARTS'!H61,0), "")</f>
        <v/>
      </c>
      <c r="AF59" s="57" t="str">
        <f>IFERROR(ROUND('C ARTS'!J61,0), "")</f>
        <v/>
      </c>
      <c r="AG59" s="56" t="str">
        <f t="shared" si="11"/>
        <v/>
      </c>
      <c r="AH59" s="57" t="str" cm="1">
        <f t="array" ref="AH59">IF(AG59&lt;&gt;"", ToGrade(AG59), "")</f>
        <v/>
      </c>
      <c r="AI59" s="58" t="str">
        <f>'C ARTS'!L61</f>
        <v/>
      </c>
      <c r="AJ59" s="59" t="str" cm="1">
        <f t="array" ref="AJ59">IF(AG59&lt;&gt;"", ToRemark(AG59), "")</f>
        <v/>
      </c>
      <c r="AK59" s="60"/>
      <c r="AL59" s="57" t="str">
        <f>IFERROR(ROUND('GH LANG'!H61,0), "")</f>
        <v/>
      </c>
      <c r="AM59" s="57" t="str">
        <f>IFERROR(ROUND('GH LANG'!J61,0), "")</f>
        <v/>
      </c>
      <c r="AN59" s="61" t="str">
        <f t="shared" si="12"/>
        <v/>
      </c>
      <c r="AO59" s="57" t="str" cm="1">
        <f t="array" ref="AO59">IF(AN59&lt;&gt;"", ToGrade(AN59), "")</f>
        <v/>
      </c>
      <c r="AP59" s="58" t="str">
        <f>'GH LANG'!L61</f>
        <v/>
      </c>
      <c r="AQ59" s="59" t="str" cm="1">
        <f t="array" ref="AQ59">IF(AN59&lt;&gt;"", ToRemark(AN59), "")</f>
        <v/>
      </c>
      <c r="AR59" s="60"/>
      <c r="AS59" s="57" t="str">
        <f>IFERROR(ROUND(COMPUTING!H61,0), "")</f>
        <v/>
      </c>
      <c r="AT59" s="57" t="str">
        <f>IFERROR(ROUND(COMPUTING!J61,0), "")</f>
        <v/>
      </c>
      <c r="AU59" s="56" t="str">
        <f t="shared" si="13"/>
        <v/>
      </c>
      <c r="AV59" s="57" t="str" cm="1">
        <f t="array" ref="AV59">IF(AU59&lt;&gt;"", ToGrade(AU59), "")</f>
        <v/>
      </c>
      <c r="AW59" s="58" t="str">
        <f>COMPUTING!L61</f>
        <v/>
      </c>
      <c r="AX59" s="59" t="str" cm="1">
        <f t="array" ref="AX59">IF(AU59&lt;&gt;"", ToRemark(AU59), "")</f>
        <v/>
      </c>
      <c r="AY59" s="62"/>
      <c r="AZ59" s="57" t="str">
        <f>IFERROR(ROUND(HISTERY!H61,0), "")</f>
        <v/>
      </c>
      <c r="BA59" s="57" t="str">
        <f>IFERROR(ROUND(HISTERY!J61,0), "")</f>
        <v/>
      </c>
      <c r="BB59" s="56" t="str">
        <f t="shared" si="14"/>
        <v/>
      </c>
      <c r="BC59" s="57" t="str" cm="1">
        <f t="array" ref="BC59">IF(BB59&lt;&gt;"", ToGrade(BB59), "")</f>
        <v/>
      </c>
      <c r="BD59" s="58" t="str">
        <f>HISTERY!L61</f>
        <v/>
      </c>
      <c r="BE59" s="59" t="str" cm="1">
        <f t="array" ref="BE59">IF(BB59&lt;&gt;"", ToRemark(BB59), "")</f>
        <v/>
      </c>
      <c r="BF59" s="60"/>
      <c r="BG59" s="57" t="str">
        <f>IFERROR(ROUND(RME!H61,0), "")</f>
        <v/>
      </c>
      <c r="BH59" s="57" t="str">
        <f>IFERROR(ROUND(RME!J61,0), "")</f>
        <v/>
      </c>
      <c r="BI59" s="56" t="str">
        <f t="shared" si="15"/>
        <v/>
      </c>
      <c r="BJ59" s="57" t="str" cm="1">
        <f t="array" ref="BJ59">IF(BI59&lt;&gt;"", ToGrade(BI59), "")</f>
        <v/>
      </c>
      <c r="BK59" s="58" t="str">
        <f>RME!L61</f>
        <v/>
      </c>
      <c r="BL59" s="59" t="str" cm="1">
        <f t="array" ref="BL59">IF(BI59&lt;&gt;"", ToRemark(BI59), "")</f>
        <v/>
      </c>
      <c r="BM59" s="74"/>
      <c r="BN59" s="97" t="str">
        <f t="shared" si="16"/>
        <v/>
      </c>
      <c r="BO59" s="106" t="str">
        <f t="shared" si="17"/>
        <v/>
      </c>
      <c r="BP59" s="98" t="str" cm="1">
        <f t="array" ref="BP59">IFERROR(OrdinalNumber(_xlfn.RANK.EQ(BN59,$BN$3:$BN$101)), "")</f>
        <v/>
      </c>
      <c r="BQ59" s="104"/>
      <c r="BR59" s="99"/>
      <c r="BS59" s="111"/>
      <c r="BT59" s="83" t="str" cm="1">
        <f t="array" ref="BT59">IF(LEN(B59)&lt;&gt;0, GetTeacherRemark(BO59), "")</f>
        <v/>
      </c>
      <c r="BU59" s="86" t="str">
        <f t="shared" si="18"/>
        <v/>
      </c>
      <c r="BV59" s="86" t="str">
        <f t="shared" si="19"/>
        <v/>
      </c>
      <c r="BW59" s="86" t="str">
        <f t="shared" si="20"/>
        <v/>
      </c>
      <c r="BX59" s="86" t="str">
        <f t="shared" si="21"/>
        <v/>
      </c>
      <c r="BY59" s="115" t="str">
        <f t="shared" si="22"/>
        <v/>
      </c>
      <c r="BZ59" s="87" t="str">
        <f t="shared" si="23"/>
        <v/>
      </c>
      <c r="CA59" s="86" t="str">
        <f t="shared" si="24"/>
        <v/>
      </c>
      <c r="CB59" s="85"/>
    </row>
    <row r="60" spans="1:80" x14ac:dyDescent="0.25">
      <c r="A60" s="53" t="str">
        <v>58</v>
      </c>
      <c r="B60" s="54" t="str">
        <v/>
      </c>
      <c r="C60" s="55" t="str">
        <f>IFERROR(ROUND(ENGLISH!H62,0), "")</f>
        <v/>
      </c>
      <c r="D60" s="55" t="str">
        <f>IFERROR(ROUND(ENGLISH!J62,0), "")</f>
        <v/>
      </c>
      <c r="E60" s="56" t="str">
        <f t="shared" si="7"/>
        <v/>
      </c>
      <c r="F60" s="57" t="str" cm="1">
        <f t="array" ref="F60">IF(E60&lt;&gt;"", ToGrade(E60), "")</f>
        <v/>
      </c>
      <c r="G60" s="58" t="str">
        <f>ENGLISH!L62</f>
        <v/>
      </c>
      <c r="H60" s="59" t="str" cm="1">
        <f t="array" ref="H60">IF(E60&lt;&gt;"", ToRemark(E60), "")</f>
        <v/>
      </c>
      <c r="I60" s="60"/>
      <c r="J60" s="55" t="str">
        <f>IFERROR(ROUND(MATHS!H62,0), "")</f>
        <v/>
      </c>
      <c r="K60" s="55" t="str">
        <f>IFERROR(ROUND(MATHS!J62,0), "")</f>
        <v/>
      </c>
      <c r="L60" s="56" t="str">
        <f t="shared" si="8"/>
        <v/>
      </c>
      <c r="M60" s="57" t="str" cm="1">
        <f t="array" ref="M60">IF(L60&lt;&gt;"", ToGrade(L60), "")</f>
        <v/>
      </c>
      <c r="N60" s="58" t="str">
        <f>MATHS!L62</f>
        <v/>
      </c>
      <c r="O60" s="59" t="str" cm="1">
        <f t="array" ref="O60">IF(L60&lt;&gt;"", ToRemark(L60), "")</f>
        <v/>
      </c>
      <c r="P60" s="60"/>
      <c r="Q60" s="57" t="str">
        <f>IFERROR(ROUND(SCIENCE!H62,0), "")</f>
        <v/>
      </c>
      <c r="R60" s="57" t="str">
        <f>IFERROR(ROUND(SCIENCE!J62,0), "")</f>
        <v/>
      </c>
      <c r="S60" s="56" t="str">
        <f t="shared" si="9"/>
        <v/>
      </c>
      <c r="T60" s="57" t="str" cm="1">
        <f t="array" ref="T60">IF(S60&lt;&gt;"", ToGrade(S60), "")</f>
        <v/>
      </c>
      <c r="U60" s="58" t="str">
        <f>SCIENCE!L62</f>
        <v/>
      </c>
      <c r="V60" s="59" t="str" cm="1">
        <f t="array" ref="V60">IF(S60&lt;&gt;"", ToRemark(S60), "")</f>
        <v/>
      </c>
      <c r="W60" s="60"/>
      <c r="X60" s="57" t="str">
        <f>IFERROR(ROUND(OWOP!H62,0), "")</f>
        <v/>
      </c>
      <c r="Y60" s="57" t="str">
        <f>IFERROR(ROUND(OWOP!J62,0), "")</f>
        <v/>
      </c>
      <c r="Z60" s="56" t="str">
        <f t="shared" si="10"/>
        <v/>
      </c>
      <c r="AA60" s="57" t="str" cm="1">
        <f t="array" ref="AA60">IF(Z60&lt;&gt;"", ToGrade(Z60), "")</f>
        <v/>
      </c>
      <c r="AB60" s="58" t="str">
        <f>OWOP!L62</f>
        <v/>
      </c>
      <c r="AC60" s="59" t="str" cm="1">
        <f t="array" ref="AC60">IF(Z60&lt;&gt;"", ToRemark(Z60), "")</f>
        <v/>
      </c>
      <c r="AD60" s="60"/>
      <c r="AE60" s="57" t="str">
        <f>IFERROR(ROUND('C ARTS'!H62,0), "")</f>
        <v/>
      </c>
      <c r="AF60" s="57" t="str">
        <f>IFERROR(ROUND('C ARTS'!J62,0), "")</f>
        <v/>
      </c>
      <c r="AG60" s="56" t="str">
        <f t="shared" si="11"/>
        <v/>
      </c>
      <c r="AH60" s="57" t="str" cm="1">
        <f t="array" ref="AH60">IF(AG60&lt;&gt;"", ToGrade(AG60), "")</f>
        <v/>
      </c>
      <c r="AI60" s="58" t="str">
        <f>'C ARTS'!L62</f>
        <v/>
      </c>
      <c r="AJ60" s="59" t="str" cm="1">
        <f t="array" ref="AJ60">IF(AG60&lt;&gt;"", ToRemark(AG60), "")</f>
        <v/>
      </c>
      <c r="AK60" s="60"/>
      <c r="AL60" s="57" t="str">
        <f>IFERROR(ROUND('GH LANG'!H62,0), "")</f>
        <v/>
      </c>
      <c r="AM60" s="57" t="str">
        <f>IFERROR(ROUND('GH LANG'!J62,0), "")</f>
        <v/>
      </c>
      <c r="AN60" s="61" t="str">
        <f t="shared" si="12"/>
        <v/>
      </c>
      <c r="AO60" s="57" t="str" cm="1">
        <f t="array" ref="AO60">IF(AN60&lt;&gt;"", ToGrade(AN60), "")</f>
        <v/>
      </c>
      <c r="AP60" s="58" t="str">
        <f>'GH LANG'!L62</f>
        <v/>
      </c>
      <c r="AQ60" s="59" t="str" cm="1">
        <f t="array" ref="AQ60">IF(AN60&lt;&gt;"", ToRemark(AN60), "")</f>
        <v/>
      </c>
      <c r="AR60" s="60"/>
      <c r="AS60" s="57" t="str">
        <f>IFERROR(ROUND(COMPUTING!H62,0), "")</f>
        <v/>
      </c>
      <c r="AT60" s="57" t="str">
        <f>IFERROR(ROUND(COMPUTING!J62,0), "")</f>
        <v/>
      </c>
      <c r="AU60" s="56" t="str">
        <f t="shared" si="13"/>
        <v/>
      </c>
      <c r="AV60" s="57" t="str" cm="1">
        <f t="array" ref="AV60">IF(AU60&lt;&gt;"", ToGrade(AU60), "")</f>
        <v/>
      </c>
      <c r="AW60" s="58" t="str">
        <f>COMPUTING!L62</f>
        <v/>
      </c>
      <c r="AX60" s="59" t="str" cm="1">
        <f t="array" ref="AX60">IF(AU60&lt;&gt;"", ToRemark(AU60), "")</f>
        <v/>
      </c>
      <c r="AY60" s="62"/>
      <c r="AZ60" s="57" t="str">
        <f>IFERROR(ROUND(HISTERY!H62,0), "")</f>
        <v/>
      </c>
      <c r="BA60" s="57" t="str">
        <f>IFERROR(ROUND(HISTERY!J62,0), "")</f>
        <v/>
      </c>
      <c r="BB60" s="56" t="str">
        <f t="shared" si="14"/>
        <v/>
      </c>
      <c r="BC60" s="57" t="str" cm="1">
        <f t="array" ref="BC60">IF(BB60&lt;&gt;"", ToGrade(BB60), "")</f>
        <v/>
      </c>
      <c r="BD60" s="58" t="str">
        <f>HISTERY!L62</f>
        <v/>
      </c>
      <c r="BE60" s="59" t="str" cm="1">
        <f t="array" ref="BE60">IF(BB60&lt;&gt;"", ToRemark(BB60), "")</f>
        <v/>
      </c>
      <c r="BF60" s="60"/>
      <c r="BG60" s="57" t="str">
        <f>IFERROR(ROUND(RME!H62,0), "")</f>
        <v/>
      </c>
      <c r="BH60" s="57" t="str">
        <f>IFERROR(ROUND(RME!J62,0), "")</f>
        <v/>
      </c>
      <c r="BI60" s="56" t="str">
        <f t="shared" si="15"/>
        <v/>
      </c>
      <c r="BJ60" s="57" t="str" cm="1">
        <f t="array" ref="BJ60">IF(BI60&lt;&gt;"", ToGrade(BI60), "")</f>
        <v/>
      </c>
      <c r="BK60" s="58" t="str">
        <f>RME!L62</f>
        <v/>
      </c>
      <c r="BL60" s="59" t="str" cm="1">
        <f t="array" ref="BL60">IF(BI60&lt;&gt;"", ToRemark(BI60), "")</f>
        <v/>
      </c>
      <c r="BM60" s="74"/>
      <c r="BN60" s="97" t="str">
        <f t="shared" si="16"/>
        <v/>
      </c>
      <c r="BO60" s="106" t="str">
        <f t="shared" si="17"/>
        <v/>
      </c>
      <c r="BP60" s="98" t="str" cm="1">
        <f t="array" ref="BP60">IFERROR(OrdinalNumber(_xlfn.RANK.EQ(BN60,$BN$3:$BN$101)), "")</f>
        <v/>
      </c>
      <c r="BQ60" s="104"/>
      <c r="BR60" s="99"/>
      <c r="BS60" s="111"/>
      <c r="BT60" s="83" t="str" cm="1">
        <f t="array" ref="BT60">IF(LEN(B60)&lt;&gt;0, GetTeacherRemark(BO60), "")</f>
        <v/>
      </c>
      <c r="BU60" s="86" t="str">
        <f t="shared" si="18"/>
        <v/>
      </c>
      <c r="BV60" s="86" t="str">
        <f t="shared" si="19"/>
        <v/>
      </c>
      <c r="BW60" s="86" t="str">
        <f t="shared" si="20"/>
        <v/>
      </c>
      <c r="BX60" s="86" t="str">
        <f t="shared" si="21"/>
        <v/>
      </c>
      <c r="BY60" s="115" t="str">
        <f t="shared" si="22"/>
        <v/>
      </c>
      <c r="BZ60" s="87" t="str">
        <f t="shared" si="23"/>
        <v/>
      </c>
      <c r="CA60" s="86" t="str">
        <f t="shared" si="24"/>
        <v/>
      </c>
      <c r="CB60" s="85"/>
    </row>
    <row r="61" spans="1:80" x14ac:dyDescent="0.25">
      <c r="A61" s="53" t="str">
        <v>59</v>
      </c>
      <c r="B61" s="54" t="str">
        <v/>
      </c>
      <c r="C61" s="55" t="str">
        <f>IFERROR(ROUND(ENGLISH!H63,0), "")</f>
        <v/>
      </c>
      <c r="D61" s="55" t="str">
        <f>IFERROR(ROUND(ENGLISH!J63,0), "")</f>
        <v/>
      </c>
      <c r="E61" s="56" t="str">
        <f t="shared" si="7"/>
        <v/>
      </c>
      <c r="F61" s="57" t="str" cm="1">
        <f t="array" ref="F61">IF(E61&lt;&gt;"", ToGrade(E61), "")</f>
        <v/>
      </c>
      <c r="G61" s="58" t="str">
        <f>ENGLISH!L63</f>
        <v/>
      </c>
      <c r="H61" s="59" t="str" cm="1">
        <f t="array" ref="H61">IF(E61&lt;&gt;"", ToRemark(E61), "")</f>
        <v/>
      </c>
      <c r="I61" s="60"/>
      <c r="J61" s="55" t="str">
        <f>IFERROR(ROUND(MATHS!H63,0), "")</f>
        <v/>
      </c>
      <c r="K61" s="55" t="str">
        <f>IFERROR(ROUND(MATHS!J63,0), "")</f>
        <v/>
      </c>
      <c r="L61" s="56" t="str">
        <f t="shared" si="8"/>
        <v/>
      </c>
      <c r="M61" s="57" t="str" cm="1">
        <f t="array" ref="M61">IF(L61&lt;&gt;"", ToGrade(L61), "")</f>
        <v/>
      </c>
      <c r="N61" s="58" t="str">
        <f>MATHS!L63</f>
        <v/>
      </c>
      <c r="O61" s="59" t="str" cm="1">
        <f t="array" ref="O61">IF(L61&lt;&gt;"", ToRemark(L61), "")</f>
        <v/>
      </c>
      <c r="P61" s="60"/>
      <c r="Q61" s="57" t="str">
        <f>IFERROR(ROUND(SCIENCE!H63,0), "")</f>
        <v/>
      </c>
      <c r="R61" s="57" t="str">
        <f>IFERROR(ROUND(SCIENCE!J63,0), "")</f>
        <v/>
      </c>
      <c r="S61" s="56" t="str">
        <f t="shared" si="9"/>
        <v/>
      </c>
      <c r="T61" s="57" t="str" cm="1">
        <f t="array" ref="T61">IF(S61&lt;&gt;"", ToGrade(S61), "")</f>
        <v/>
      </c>
      <c r="U61" s="58" t="str">
        <f>SCIENCE!L63</f>
        <v/>
      </c>
      <c r="V61" s="59" t="str" cm="1">
        <f t="array" ref="V61">IF(S61&lt;&gt;"", ToRemark(S61), "")</f>
        <v/>
      </c>
      <c r="W61" s="60"/>
      <c r="X61" s="57" t="str">
        <f>IFERROR(ROUND(OWOP!H63,0), "")</f>
        <v/>
      </c>
      <c r="Y61" s="57" t="str">
        <f>IFERROR(ROUND(OWOP!J63,0), "")</f>
        <v/>
      </c>
      <c r="Z61" s="56" t="str">
        <f t="shared" si="10"/>
        <v/>
      </c>
      <c r="AA61" s="57" t="str" cm="1">
        <f t="array" ref="AA61">IF(Z61&lt;&gt;"", ToGrade(Z61), "")</f>
        <v/>
      </c>
      <c r="AB61" s="58" t="str">
        <f>OWOP!L63</f>
        <v/>
      </c>
      <c r="AC61" s="59" t="str" cm="1">
        <f t="array" ref="AC61">IF(Z61&lt;&gt;"", ToRemark(Z61), "")</f>
        <v/>
      </c>
      <c r="AD61" s="60"/>
      <c r="AE61" s="57" t="str">
        <f>IFERROR(ROUND('C ARTS'!H63,0), "")</f>
        <v/>
      </c>
      <c r="AF61" s="57" t="str">
        <f>IFERROR(ROUND('C ARTS'!J63,0), "")</f>
        <v/>
      </c>
      <c r="AG61" s="56" t="str">
        <f t="shared" si="11"/>
        <v/>
      </c>
      <c r="AH61" s="57" t="str" cm="1">
        <f t="array" ref="AH61">IF(AG61&lt;&gt;"", ToGrade(AG61), "")</f>
        <v/>
      </c>
      <c r="AI61" s="58" t="str">
        <f>'C ARTS'!L63</f>
        <v/>
      </c>
      <c r="AJ61" s="59" t="str" cm="1">
        <f t="array" ref="AJ61">IF(AG61&lt;&gt;"", ToRemark(AG61), "")</f>
        <v/>
      </c>
      <c r="AK61" s="60"/>
      <c r="AL61" s="57" t="str">
        <f>IFERROR(ROUND('GH LANG'!H63,0), "")</f>
        <v/>
      </c>
      <c r="AM61" s="57" t="str">
        <f>IFERROR(ROUND('GH LANG'!J63,0), "")</f>
        <v/>
      </c>
      <c r="AN61" s="61" t="str">
        <f t="shared" si="12"/>
        <v/>
      </c>
      <c r="AO61" s="57" t="str" cm="1">
        <f t="array" ref="AO61">IF(AN61&lt;&gt;"", ToGrade(AN61), "")</f>
        <v/>
      </c>
      <c r="AP61" s="58" t="str">
        <f>'GH LANG'!L63</f>
        <v/>
      </c>
      <c r="AQ61" s="59" t="str" cm="1">
        <f t="array" ref="AQ61">IF(AN61&lt;&gt;"", ToRemark(AN61), "")</f>
        <v/>
      </c>
      <c r="AR61" s="60"/>
      <c r="AS61" s="57" t="str">
        <f>IFERROR(ROUND(COMPUTING!H63,0), "")</f>
        <v/>
      </c>
      <c r="AT61" s="57" t="str">
        <f>IFERROR(ROUND(COMPUTING!J63,0), "")</f>
        <v/>
      </c>
      <c r="AU61" s="56" t="str">
        <f t="shared" si="13"/>
        <v/>
      </c>
      <c r="AV61" s="57" t="str" cm="1">
        <f t="array" ref="AV61">IF(AU61&lt;&gt;"", ToGrade(AU61), "")</f>
        <v/>
      </c>
      <c r="AW61" s="58" t="str">
        <f>COMPUTING!L63</f>
        <v/>
      </c>
      <c r="AX61" s="59" t="str" cm="1">
        <f t="array" ref="AX61">IF(AU61&lt;&gt;"", ToRemark(AU61), "")</f>
        <v/>
      </c>
      <c r="AY61" s="62"/>
      <c r="AZ61" s="57" t="str">
        <f>IFERROR(ROUND(HISTERY!H63,0), "")</f>
        <v/>
      </c>
      <c r="BA61" s="57" t="str">
        <f>IFERROR(ROUND(HISTERY!J63,0), "")</f>
        <v/>
      </c>
      <c r="BB61" s="56" t="str">
        <f t="shared" si="14"/>
        <v/>
      </c>
      <c r="BC61" s="57" t="str" cm="1">
        <f t="array" ref="BC61">IF(BB61&lt;&gt;"", ToGrade(BB61), "")</f>
        <v/>
      </c>
      <c r="BD61" s="58" t="str">
        <f>HISTERY!L63</f>
        <v/>
      </c>
      <c r="BE61" s="59" t="str" cm="1">
        <f t="array" ref="BE61">IF(BB61&lt;&gt;"", ToRemark(BB61), "")</f>
        <v/>
      </c>
      <c r="BF61" s="60"/>
      <c r="BG61" s="57" t="str">
        <f>IFERROR(ROUND(RME!H63,0), "")</f>
        <v/>
      </c>
      <c r="BH61" s="57" t="str">
        <f>IFERROR(ROUND(RME!J63,0), "")</f>
        <v/>
      </c>
      <c r="BI61" s="56" t="str">
        <f t="shared" si="15"/>
        <v/>
      </c>
      <c r="BJ61" s="57" t="str" cm="1">
        <f t="array" ref="BJ61">IF(BI61&lt;&gt;"", ToGrade(BI61), "")</f>
        <v/>
      </c>
      <c r="BK61" s="58" t="str">
        <f>RME!L63</f>
        <v/>
      </c>
      <c r="BL61" s="59" t="str" cm="1">
        <f t="array" ref="BL61">IF(BI61&lt;&gt;"", ToRemark(BI61), "")</f>
        <v/>
      </c>
      <c r="BM61" s="74"/>
      <c r="BN61" s="97" t="str">
        <f t="shared" si="16"/>
        <v/>
      </c>
      <c r="BO61" s="106" t="str">
        <f t="shared" si="17"/>
        <v/>
      </c>
      <c r="BP61" s="98" t="str" cm="1">
        <f t="array" ref="BP61">IFERROR(OrdinalNumber(_xlfn.RANK.EQ(BN61,$BN$3:$BN$101)), "")</f>
        <v/>
      </c>
      <c r="BQ61" s="104"/>
      <c r="BR61" s="99"/>
      <c r="BS61" s="111"/>
      <c r="BT61" s="83" t="str" cm="1">
        <f t="array" ref="BT61">IF(LEN(B61)&lt;&gt;0, GetTeacherRemark(BO61), "")</f>
        <v/>
      </c>
      <c r="BU61" s="86" t="str">
        <f t="shared" si="18"/>
        <v/>
      </c>
      <c r="BV61" s="86" t="str">
        <f t="shared" si="19"/>
        <v/>
      </c>
      <c r="BW61" s="86" t="str">
        <f t="shared" si="20"/>
        <v/>
      </c>
      <c r="BX61" s="86" t="str">
        <f t="shared" si="21"/>
        <v/>
      </c>
      <c r="BY61" s="115" t="str">
        <f t="shared" si="22"/>
        <v/>
      </c>
      <c r="BZ61" s="87" t="str">
        <f t="shared" si="23"/>
        <v/>
      </c>
      <c r="CA61" s="86" t="str">
        <f t="shared" si="24"/>
        <v/>
      </c>
      <c r="CB61" s="85"/>
    </row>
    <row r="62" spans="1:80" x14ac:dyDescent="0.25">
      <c r="A62" s="53" t="str">
        <v>60</v>
      </c>
      <c r="B62" s="54" t="str">
        <v/>
      </c>
      <c r="C62" s="55" t="str">
        <f>IFERROR(ROUND(ENGLISH!H64,0), "")</f>
        <v/>
      </c>
      <c r="D62" s="55" t="str">
        <f>IFERROR(ROUND(ENGLISH!J64,0), "")</f>
        <v/>
      </c>
      <c r="E62" s="56" t="str">
        <f t="shared" si="7"/>
        <v/>
      </c>
      <c r="F62" s="57" t="str" cm="1">
        <f t="array" ref="F62">IF(E62&lt;&gt;"", ToGrade(E62), "")</f>
        <v/>
      </c>
      <c r="G62" s="58" t="str">
        <f>ENGLISH!L64</f>
        <v/>
      </c>
      <c r="H62" s="59" t="str" cm="1">
        <f t="array" ref="H62">IF(E62&lt;&gt;"", ToRemark(E62), "")</f>
        <v/>
      </c>
      <c r="I62" s="60"/>
      <c r="J62" s="55" t="str">
        <f>IFERROR(ROUND(MATHS!H64,0), "")</f>
        <v/>
      </c>
      <c r="K62" s="55" t="str">
        <f>IFERROR(ROUND(MATHS!J64,0), "")</f>
        <v/>
      </c>
      <c r="L62" s="56" t="str">
        <f t="shared" si="8"/>
        <v/>
      </c>
      <c r="M62" s="57" t="str" cm="1">
        <f t="array" ref="M62">IF(L62&lt;&gt;"", ToGrade(L62), "")</f>
        <v/>
      </c>
      <c r="N62" s="58" t="str">
        <f>MATHS!L64</f>
        <v/>
      </c>
      <c r="O62" s="59" t="str" cm="1">
        <f t="array" ref="O62">IF(L62&lt;&gt;"", ToRemark(L62), "")</f>
        <v/>
      </c>
      <c r="P62" s="60"/>
      <c r="Q62" s="57" t="str">
        <f>IFERROR(ROUND(SCIENCE!H64,0), "")</f>
        <v/>
      </c>
      <c r="R62" s="57" t="str">
        <f>IFERROR(ROUND(SCIENCE!J64,0), "")</f>
        <v/>
      </c>
      <c r="S62" s="56" t="str">
        <f t="shared" si="9"/>
        <v/>
      </c>
      <c r="T62" s="57" t="str" cm="1">
        <f t="array" ref="T62">IF(S62&lt;&gt;"", ToGrade(S62), "")</f>
        <v/>
      </c>
      <c r="U62" s="58" t="str">
        <f>SCIENCE!L64</f>
        <v/>
      </c>
      <c r="V62" s="59" t="str" cm="1">
        <f t="array" ref="V62">IF(S62&lt;&gt;"", ToRemark(S62), "")</f>
        <v/>
      </c>
      <c r="W62" s="60"/>
      <c r="X62" s="57" t="str">
        <f>IFERROR(ROUND(OWOP!H64,0), "")</f>
        <v/>
      </c>
      <c r="Y62" s="57" t="str">
        <f>IFERROR(ROUND(OWOP!J64,0), "")</f>
        <v/>
      </c>
      <c r="Z62" s="56" t="str">
        <f t="shared" si="10"/>
        <v/>
      </c>
      <c r="AA62" s="57" t="str" cm="1">
        <f t="array" ref="AA62">IF(Z62&lt;&gt;"", ToGrade(Z62), "")</f>
        <v/>
      </c>
      <c r="AB62" s="58" t="str">
        <f>OWOP!L64</f>
        <v/>
      </c>
      <c r="AC62" s="59" t="str" cm="1">
        <f t="array" ref="AC62">IF(Z62&lt;&gt;"", ToRemark(Z62), "")</f>
        <v/>
      </c>
      <c r="AD62" s="60"/>
      <c r="AE62" s="57" t="str">
        <f>IFERROR(ROUND('C ARTS'!H64,0), "")</f>
        <v/>
      </c>
      <c r="AF62" s="57" t="str">
        <f>IFERROR(ROUND('C ARTS'!J64,0), "")</f>
        <v/>
      </c>
      <c r="AG62" s="56" t="str">
        <f t="shared" si="11"/>
        <v/>
      </c>
      <c r="AH62" s="57" t="str" cm="1">
        <f t="array" ref="AH62">IF(AG62&lt;&gt;"", ToGrade(AG62), "")</f>
        <v/>
      </c>
      <c r="AI62" s="58" t="str">
        <f>'C ARTS'!L64</f>
        <v/>
      </c>
      <c r="AJ62" s="59" t="str" cm="1">
        <f t="array" ref="AJ62">IF(AG62&lt;&gt;"", ToRemark(AG62), "")</f>
        <v/>
      </c>
      <c r="AK62" s="60"/>
      <c r="AL62" s="57" t="str">
        <f>IFERROR(ROUND('GH LANG'!H64,0), "")</f>
        <v/>
      </c>
      <c r="AM62" s="57" t="str">
        <f>IFERROR(ROUND('GH LANG'!J64,0), "")</f>
        <v/>
      </c>
      <c r="AN62" s="61" t="str">
        <f t="shared" si="12"/>
        <v/>
      </c>
      <c r="AO62" s="57" t="str" cm="1">
        <f t="array" ref="AO62">IF(AN62&lt;&gt;"", ToGrade(AN62), "")</f>
        <v/>
      </c>
      <c r="AP62" s="58" t="str">
        <f>'GH LANG'!L64</f>
        <v/>
      </c>
      <c r="AQ62" s="59" t="str" cm="1">
        <f t="array" ref="AQ62">IF(AN62&lt;&gt;"", ToRemark(AN62), "")</f>
        <v/>
      </c>
      <c r="AR62" s="60"/>
      <c r="AS62" s="57" t="str">
        <f>IFERROR(ROUND(COMPUTING!H64,0), "")</f>
        <v/>
      </c>
      <c r="AT62" s="57" t="str">
        <f>IFERROR(ROUND(COMPUTING!J64,0), "")</f>
        <v/>
      </c>
      <c r="AU62" s="56" t="str">
        <f t="shared" si="13"/>
        <v/>
      </c>
      <c r="AV62" s="57" t="str" cm="1">
        <f t="array" ref="AV62">IF(AU62&lt;&gt;"", ToGrade(AU62), "")</f>
        <v/>
      </c>
      <c r="AW62" s="58" t="str">
        <f>COMPUTING!L64</f>
        <v/>
      </c>
      <c r="AX62" s="59" t="str" cm="1">
        <f t="array" ref="AX62">IF(AU62&lt;&gt;"", ToRemark(AU62), "")</f>
        <v/>
      </c>
      <c r="AY62" s="62"/>
      <c r="AZ62" s="57" t="str">
        <f>IFERROR(ROUND(HISTERY!H64,0), "")</f>
        <v/>
      </c>
      <c r="BA62" s="57" t="str">
        <f>IFERROR(ROUND(HISTERY!J64,0), "")</f>
        <v/>
      </c>
      <c r="BB62" s="56" t="str">
        <f t="shared" si="14"/>
        <v/>
      </c>
      <c r="BC62" s="57" t="str" cm="1">
        <f t="array" ref="BC62">IF(BB62&lt;&gt;"", ToGrade(BB62), "")</f>
        <v/>
      </c>
      <c r="BD62" s="58" t="str">
        <f>HISTERY!L64</f>
        <v/>
      </c>
      <c r="BE62" s="59" t="str" cm="1">
        <f t="array" ref="BE62">IF(BB62&lt;&gt;"", ToRemark(BB62), "")</f>
        <v/>
      </c>
      <c r="BF62" s="60"/>
      <c r="BG62" s="57" t="str">
        <f>IFERROR(ROUND(RME!H64,0), "")</f>
        <v/>
      </c>
      <c r="BH62" s="57" t="str">
        <f>IFERROR(ROUND(RME!J64,0), "")</f>
        <v/>
      </c>
      <c r="BI62" s="56" t="str">
        <f t="shared" si="15"/>
        <v/>
      </c>
      <c r="BJ62" s="57" t="str" cm="1">
        <f t="array" ref="BJ62">IF(BI62&lt;&gt;"", ToGrade(BI62), "")</f>
        <v/>
      </c>
      <c r="BK62" s="58" t="str">
        <f>RME!L64</f>
        <v/>
      </c>
      <c r="BL62" s="59" t="str" cm="1">
        <f t="array" ref="BL62">IF(BI62&lt;&gt;"", ToRemark(BI62), "")</f>
        <v/>
      </c>
      <c r="BM62" s="74"/>
      <c r="BN62" s="97" t="str">
        <f t="shared" si="16"/>
        <v/>
      </c>
      <c r="BO62" s="106" t="str">
        <f t="shared" si="17"/>
        <v/>
      </c>
      <c r="BP62" s="98" t="str" cm="1">
        <f t="array" ref="BP62">IFERROR(OrdinalNumber(_xlfn.RANK.EQ(BN62,$BN$3:$BN$101)), "")</f>
        <v/>
      </c>
      <c r="BQ62" s="104"/>
      <c r="BR62" s="99"/>
      <c r="BS62" s="111"/>
      <c r="BT62" s="83" t="str" cm="1">
        <f t="array" ref="BT62">IF(LEN(B62)&lt;&gt;0, GetTeacherRemark(BO62), "")</f>
        <v/>
      </c>
      <c r="BU62" s="86" t="str">
        <f t="shared" si="18"/>
        <v/>
      </c>
      <c r="BV62" s="86" t="str">
        <f t="shared" si="19"/>
        <v/>
      </c>
      <c r="BW62" s="86" t="str">
        <f t="shared" si="20"/>
        <v/>
      </c>
      <c r="BX62" s="86" t="str">
        <f t="shared" si="21"/>
        <v/>
      </c>
      <c r="BY62" s="115" t="str">
        <f t="shared" si="22"/>
        <v/>
      </c>
      <c r="BZ62" s="87" t="str">
        <f t="shared" si="23"/>
        <v/>
      </c>
      <c r="CA62" s="86" t="str">
        <f t="shared" si="24"/>
        <v/>
      </c>
      <c r="CB62" s="85"/>
    </row>
    <row r="63" spans="1:80" x14ac:dyDescent="0.25">
      <c r="A63" s="53" t="str">
        <v>61</v>
      </c>
      <c r="B63" s="54" t="str">
        <v/>
      </c>
      <c r="C63" s="55" t="str">
        <f>IFERROR(ROUND(ENGLISH!H65,0), "")</f>
        <v/>
      </c>
      <c r="D63" s="55" t="str">
        <f>IFERROR(ROUND(ENGLISH!J65,0), "")</f>
        <v/>
      </c>
      <c r="E63" s="56" t="str">
        <f t="shared" si="7"/>
        <v/>
      </c>
      <c r="F63" s="57" t="str" cm="1">
        <f t="array" ref="F63">IF(E63&lt;&gt;"", ToGrade(E63), "")</f>
        <v/>
      </c>
      <c r="G63" s="58" t="str">
        <f>ENGLISH!L65</f>
        <v/>
      </c>
      <c r="H63" s="59" t="str" cm="1">
        <f t="array" ref="H63">IF(E63&lt;&gt;"", ToRemark(E63), "")</f>
        <v/>
      </c>
      <c r="I63" s="60"/>
      <c r="J63" s="55" t="str">
        <f>IFERROR(ROUND(MATHS!H65,0), "")</f>
        <v/>
      </c>
      <c r="K63" s="55" t="str">
        <f>IFERROR(ROUND(MATHS!J65,0), "")</f>
        <v/>
      </c>
      <c r="L63" s="56" t="str">
        <f t="shared" si="8"/>
        <v/>
      </c>
      <c r="M63" s="57" t="str" cm="1">
        <f t="array" ref="M63">IF(L63&lt;&gt;"", ToGrade(L63), "")</f>
        <v/>
      </c>
      <c r="N63" s="58" t="str">
        <f>MATHS!L65</f>
        <v/>
      </c>
      <c r="O63" s="59" t="str" cm="1">
        <f t="array" ref="O63">IF(L63&lt;&gt;"", ToRemark(L63), "")</f>
        <v/>
      </c>
      <c r="P63" s="60"/>
      <c r="Q63" s="57" t="str">
        <f>IFERROR(ROUND(SCIENCE!H65,0), "")</f>
        <v/>
      </c>
      <c r="R63" s="57" t="str">
        <f>IFERROR(ROUND(SCIENCE!J65,0), "")</f>
        <v/>
      </c>
      <c r="S63" s="56" t="str">
        <f t="shared" si="9"/>
        <v/>
      </c>
      <c r="T63" s="57" t="str" cm="1">
        <f t="array" ref="T63">IF(S63&lt;&gt;"", ToGrade(S63), "")</f>
        <v/>
      </c>
      <c r="U63" s="58" t="str">
        <f>SCIENCE!L65</f>
        <v/>
      </c>
      <c r="V63" s="59" t="str" cm="1">
        <f t="array" ref="V63">IF(S63&lt;&gt;"", ToRemark(S63), "")</f>
        <v/>
      </c>
      <c r="W63" s="60"/>
      <c r="X63" s="57" t="str">
        <f>IFERROR(ROUND(OWOP!H65,0), "")</f>
        <v/>
      </c>
      <c r="Y63" s="57" t="str">
        <f>IFERROR(ROUND(OWOP!J65,0), "")</f>
        <v/>
      </c>
      <c r="Z63" s="56" t="str">
        <f t="shared" si="10"/>
        <v/>
      </c>
      <c r="AA63" s="57" t="str" cm="1">
        <f t="array" ref="AA63">IF(Z63&lt;&gt;"", ToGrade(Z63), "")</f>
        <v/>
      </c>
      <c r="AB63" s="58" t="str">
        <f>OWOP!L65</f>
        <v/>
      </c>
      <c r="AC63" s="59" t="str" cm="1">
        <f t="array" ref="AC63">IF(Z63&lt;&gt;"", ToRemark(Z63), "")</f>
        <v/>
      </c>
      <c r="AD63" s="60"/>
      <c r="AE63" s="57" t="str">
        <f>IFERROR(ROUND('C ARTS'!H65,0), "")</f>
        <v/>
      </c>
      <c r="AF63" s="57" t="str">
        <f>IFERROR(ROUND('C ARTS'!J65,0), "")</f>
        <v/>
      </c>
      <c r="AG63" s="56" t="str">
        <f t="shared" si="11"/>
        <v/>
      </c>
      <c r="AH63" s="57" t="str" cm="1">
        <f t="array" ref="AH63">IF(AG63&lt;&gt;"", ToGrade(AG63), "")</f>
        <v/>
      </c>
      <c r="AI63" s="58" t="str">
        <f>'C ARTS'!L65</f>
        <v/>
      </c>
      <c r="AJ63" s="59" t="str" cm="1">
        <f t="array" ref="AJ63">IF(AG63&lt;&gt;"", ToRemark(AG63), "")</f>
        <v/>
      </c>
      <c r="AK63" s="60"/>
      <c r="AL63" s="57" t="str">
        <f>IFERROR(ROUND('GH LANG'!H65,0), "")</f>
        <v/>
      </c>
      <c r="AM63" s="57" t="str">
        <f>IFERROR(ROUND('GH LANG'!J65,0), "")</f>
        <v/>
      </c>
      <c r="AN63" s="61" t="str">
        <f t="shared" si="12"/>
        <v/>
      </c>
      <c r="AO63" s="57" t="str" cm="1">
        <f t="array" ref="AO63">IF(AN63&lt;&gt;"", ToGrade(AN63), "")</f>
        <v/>
      </c>
      <c r="AP63" s="58" t="str">
        <f>'GH LANG'!L65</f>
        <v/>
      </c>
      <c r="AQ63" s="59" t="str" cm="1">
        <f t="array" ref="AQ63">IF(AN63&lt;&gt;"", ToRemark(AN63), "")</f>
        <v/>
      </c>
      <c r="AR63" s="60"/>
      <c r="AS63" s="57" t="str">
        <f>IFERROR(ROUND(COMPUTING!H65,0), "")</f>
        <v/>
      </c>
      <c r="AT63" s="57" t="str">
        <f>IFERROR(ROUND(COMPUTING!J65,0), "")</f>
        <v/>
      </c>
      <c r="AU63" s="56" t="str">
        <f t="shared" si="13"/>
        <v/>
      </c>
      <c r="AV63" s="57" t="str" cm="1">
        <f t="array" ref="AV63">IF(AU63&lt;&gt;"", ToGrade(AU63), "")</f>
        <v/>
      </c>
      <c r="AW63" s="58" t="str">
        <f>COMPUTING!L65</f>
        <v/>
      </c>
      <c r="AX63" s="59" t="str" cm="1">
        <f t="array" ref="AX63">IF(AU63&lt;&gt;"", ToRemark(AU63), "")</f>
        <v/>
      </c>
      <c r="AY63" s="62"/>
      <c r="AZ63" s="57" t="str">
        <f>IFERROR(ROUND(HISTERY!H65,0), "")</f>
        <v/>
      </c>
      <c r="BA63" s="57" t="str">
        <f>IFERROR(ROUND(HISTERY!J65,0), "")</f>
        <v/>
      </c>
      <c r="BB63" s="56" t="str">
        <f t="shared" si="14"/>
        <v/>
      </c>
      <c r="BC63" s="57" t="str" cm="1">
        <f t="array" ref="BC63">IF(BB63&lt;&gt;"", ToGrade(BB63), "")</f>
        <v/>
      </c>
      <c r="BD63" s="58" t="str">
        <f>HISTERY!L65</f>
        <v/>
      </c>
      <c r="BE63" s="59" t="str" cm="1">
        <f t="array" ref="BE63">IF(BB63&lt;&gt;"", ToRemark(BB63), "")</f>
        <v/>
      </c>
      <c r="BF63" s="60"/>
      <c r="BG63" s="57" t="str">
        <f>IFERROR(ROUND(RME!H65,0), "")</f>
        <v/>
      </c>
      <c r="BH63" s="57" t="str">
        <f>IFERROR(ROUND(RME!J65,0), "")</f>
        <v/>
      </c>
      <c r="BI63" s="56" t="str">
        <f t="shared" si="15"/>
        <v/>
      </c>
      <c r="BJ63" s="57" t="str" cm="1">
        <f t="array" ref="BJ63">IF(BI63&lt;&gt;"", ToGrade(BI63), "")</f>
        <v/>
      </c>
      <c r="BK63" s="58" t="str">
        <f>RME!L65</f>
        <v/>
      </c>
      <c r="BL63" s="59" t="str" cm="1">
        <f t="array" ref="BL63">IF(BI63&lt;&gt;"", ToRemark(BI63), "")</f>
        <v/>
      </c>
      <c r="BM63" s="74"/>
      <c r="BN63" s="97" t="str">
        <f t="shared" si="16"/>
        <v/>
      </c>
      <c r="BO63" s="106" t="str">
        <f t="shared" si="17"/>
        <v/>
      </c>
      <c r="BP63" s="98" t="str" cm="1">
        <f t="array" ref="BP63">IFERROR(OrdinalNumber(_xlfn.RANK.EQ(BN63,$BN$3:$BN$101)), "")</f>
        <v/>
      </c>
      <c r="BQ63" s="104"/>
      <c r="BR63" s="99"/>
      <c r="BS63" s="111"/>
      <c r="BT63" s="83" t="str" cm="1">
        <f t="array" ref="BT63">IF(LEN(B63)&lt;&gt;0, GetTeacherRemark(BO63), "")</f>
        <v/>
      </c>
      <c r="BU63" s="86" t="str">
        <f t="shared" si="18"/>
        <v/>
      </c>
      <c r="BV63" s="86" t="str">
        <f t="shared" si="19"/>
        <v/>
      </c>
      <c r="BW63" s="86" t="str">
        <f t="shared" si="20"/>
        <v/>
      </c>
      <c r="BX63" s="86" t="str">
        <f t="shared" si="21"/>
        <v/>
      </c>
      <c r="BY63" s="115" t="str">
        <f t="shared" si="22"/>
        <v/>
      </c>
      <c r="BZ63" s="87" t="str">
        <f t="shared" si="23"/>
        <v/>
      </c>
      <c r="CA63" s="86" t="str">
        <f t="shared" si="24"/>
        <v/>
      </c>
      <c r="CB63" s="85"/>
    </row>
    <row r="64" spans="1:80" x14ac:dyDescent="0.25">
      <c r="A64" s="53" t="str">
        <v>62</v>
      </c>
      <c r="B64" s="54" t="str">
        <v/>
      </c>
      <c r="C64" s="55" t="str">
        <f>IFERROR(ROUND(ENGLISH!H66,0), "")</f>
        <v/>
      </c>
      <c r="D64" s="55" t="str">
        <f>IFERROR(ROUND(ENGLISH!J66,0), "")</f>
        <v/>
      </c>
      <c r="E64" s="56" t="str">
        <f t="shared" si="7"/>
        <v/>
      </c>
      <c r="F64" s="57" t="str" cm="1">
        <f t="array" ref="F64">IF(E64&lt;&gt;"", ToGrade(E64), "")</f>
        <v/>
      </c>
      <c r="G64" s="58" t="str">
        <f>ENGLISH!L66</f>
        <v/>
      </c>
      <c r="H64" s="59" t="str" cm="1">
        <f t="array" ref="H64">IF(E64&lt;&gt;"", ToRemark(E64), "")</f>
        <v/>
      </c>
      <c r="I64" s="60"/>
      <c r="J64" s="55" t="str">
        <f>IFERROR(ROUND(MATHS!H66,0), "")</f>
        <v/>
      </c>
      <c r="K64" s="55" t="str">
        <f>IFERROR(ROUND(MATHS!J66,0), "")</f>
        <v/>
      </c>
      <c r="L64" s="56" t="str">
        <f t="shared" si="8"/>
        <v/>
      </c>
      <c r="M64" s="57" t="str" cm="1">
        <f t="array" ref="M64">IF(L64&lt;&gt;"", ToGrade(L64), "")</f>
        <v/>
      </c>
      <c r="N64" s="58" t="str">
        <f>MATHS!L66</f>
        <v/>
      </c>
      <c r="O64" s="59" t="str" cm="1">
        <f t="array" ref="O64">IF(L64&lt;&gt;"", ToRemark(L64), "")</f>
        <v/>
      </c>
      <c r="P64" s="60"/>
      <c r="Q64" s="57" t="str">
        <f>IFERROR(ROUND(SCIENCE!H66,0), "")</f>
        <v/>
      </c>
      <c r="R64" s="57" t="str">
        <f>IFERROR(ROUND(SCIENCE!J66,0), "")</f>
        <v/>
      </c>
      <c r="S64" s="56" t="str">
        <f t="shared" si="9"/>
        <v/>
      </c>
      <c r="T64" s="57" t="str" cm="1">
        <f t="array" ref="T64">IF(S64&lt;&gt;"", ToGrade(S64), "")</f>
        <v/>
      </c>
      <c r="U64" s="58" t="str">
        <f>SCIENCE!L66</f>
        <v/>
      </c>
      <c r="V64" s="59" t="str" cm="1">
        <f t="array" ref="V64">IF(S64&lt;&gt;"", ToRemark(S64), "")</f>
        <v/>
      </c>
      <c r="W64" s="60"/>
      <c r="X64" s="57" t="str">
        <f>IFERROR(ROUND(OWOP!H66,0), "")</f>
        <v/>
      </c>
      <c r="Y64" s="57" t="str">
        <f>IFERROR(ROUND(OWOP!J66,0), "")</f>
        <v/>
      </c>
      <c r="Z64" s="56" t="str">
        <f t="shared" si="10"/>
        <v/>
      </c>
      <c r="AA64" s="57" t="str" cm="1">
        <f t="array" ref="AA64">IF(Z64&lt;&gt;"", ToGrade(Z64), "")</f>
        <v/>
      </c>
      <c r="AB64" s="58" t="str">
        <f>OWOP!L66</f>
        <v/>
      </c>
      <c r="AC64" s="59" t="str" cm="1">
        <f t="array" ref="AC64">IF(Z64&lt;&gt;"", ToRemark(Z64), "")</f>
        <v/>
      </c>
      <c r="AD64" s="60"/>
      <c r="AE64" s="57" t="str">
        <f>IFERROR(ROUND('C ARTS'!H66,0), "")</f>
        <v/>
      </c>
      <c r="AF64" s="57" t="str">
        <f>IFERROR(ROUND('C ARTS'!J66,0), "")</f>
        <v/>
      </c>
      <c r="AG64" s="56" t="str">
        <f t="shared" si="11"/>
        <v/>
      </c>
      <c r="AH64" s="57" t="str" cm="1">
        <f t="array" ref="AH64">IF(AG64&lt;&gt;"", ToGrade(AG64), "")</f>
        <v/>
      </c>
      <c r="AI64" s="58" t="str">
        <f>'C ARTS'!L66</f>
        <v/>
      </c>
      <c r="AJ64" s="59" t="str" cm="1">
        <f t="array" ref="AJ64">IF(AG64&lt;&gt;"", ToRemark(AG64), "")</f>
        <v/>
      </c>
      <c r="AK64" s="60"/>
      <c r="AL64" s="57" t="str">
        <f>IFERROR(ROUND('GH LANG'!H66,0), "")</f>
        <v/>
      </c>
      <c r="AM64" s="57" t="str">
        <f>IFERROR(ROUND('GH LANG'!J66,0), "")</f>
        <v/>
      </c>
      <c r="AN64" s="61" t="str">
        <f t="shared" si="12"/>
        <v/>
      </c>
      <c r="AO64" s="57" t="str" cm="1">
        <f t="array" ref="AO64">IF(AN64&lt;&gt;"", ToGrade(AN64), "")</f>
        <v/>
      </c>
      <c r="AP64" s="58" t="str">
        <f>'GH LANG'!L66</f>
        <v/>
      </c>
      <c r="AQ64" s="59" t="str" cm="1">
        <f t="array" ref="AQ64">IF(AN64&lt;&gt;"", ToRemark(AN64), "")</f>
        <v/>
      </c>
      <c r="AR64" s="60"/>
      <c r="AS64" s="57" t="str">
        <f>IFERROR(ROUND(COMPUTING!H66,0), "")</f>
        <v/>
      </c>
      <c r="AT64" s="57" t="str">
        <f>IFERROR(ROUND(COMPUTING!J66,0), "")</f>
        <v/>
      </c>
      <c r="AU64" s="56" t="str">
        <f t="shared" si="13"/>
        <v/>
      </c>
      <c r="AV64" s="57" t="str" cm="1">
        <f t="array" ref="AV64">IF(AU64&lt;&gt;"", ToGrade(AU64), "")</f>
        <v/>
      </c>
      <c r="AW64" s="58" t="str">
        <f>COMPUTING!L66</f>
        <v/>
      </c>
      <c r="AX64" s="59" t="str" cm="1">
        <f t="array" ref="AX64">IF(AU64&lt;&gt;"", ToRemark(AU64), "")</f>
        <v/>
      </c>
      <c r="AY64" s="62"/>
      <c r="AZ64" s="57" t="str">
        <f>IFERROR(ROUND(HISTERY!H66,0), "")</f>
        <v/>
      </c>
      <c r="BA64" s="57" t="str">
        <f>IFERROR(ROUND(HISTERY!J66,0), "")</f>
        <v/>
      </c>
      <c r="BB64" s="56" t="str">
        <f t="shared" si="14"/>
        <v/>
      </c>
      <c r="BC64" s="57" t="str" cm="1">
        <f t="array" ref="BC64">IF(BB64&lt;&gt;"", ToGrade(BB64), "")</f>
        <v/>
      </c>
      <c r="BD64" s="58" t="str">
        <f>HISTERY!L66</f>
        <v/>
      </c>
      <c r="BE64" s="59" t="str" cm="1">
        <f t="array" ref="BE64">IF(BB64&lt;&gt;"", ToRemark(BB64), "")</f>
        <v/>
      </c>
      <c r="BF64" s="60"/>
      <c r="BG64" s="57" t="str">
        <f>IFERROR(ROUND(RME!H66,0), "")</f>
        <v/>
      </c>
      <c r="BH64" s="57" t="str">
        <f>IFERROR(ROUND(RME!J66,0), "")</f>
        <v/>
      </c>
      <c r="BI64" s="56" t="str">
        <f t="shared" si="15"/>
        <v/>
      </c>
      <c r="BJ64" s="57" t="str" cm="1">
        <f t="array" ref="BJ64">IF(BI64&lt;&gt;"", ToGrade(BI64), "")</f>
        <v/>
      </c>
      <c r="BK64" s="58" t="str">
        <f>RME!L66</f>
        <v/>
      </c>
      <c r="BL64" s="59" t="str" cm="1">
        <f t="array" ref="BL64">IF(BI64&lt;&gt;"", ToRemark(BI64), "")</f>
        <v/>
      </c>
      <c r="BM64" s="74"/>
      <c r="BN64" s="97" t="str">
        <f t="shared" si="16"/>
        <v/>
      </c>
      <c r="BO64" s="106" t="str">
        <f t="shared" si="17"/>
        <v/>
      </c>
      <c r="BP64" s="98" t="str" cm="1">
        <f t="array" ref="BP64">IFERROR(OrdinalNumber(_xlfn.RANK.EQ(BN64,$BN$3:$BN$101)), "")</f>
        <v/>
      </c>
      <c r="BQ64" s="104"/>
      <c r="BR64" s="99"/>
      <c r="BS64" s="111"/>
      <c r="BT64" s="83" t="str" cm="1">
        <f t="array" ref="BT64">IF(LEN(B64)&lt;&gt;0, GetTeacherRemark(BO64), "")</f>
        <v/>
      </c>
      <c r="BU64" s="86" t="str">
        <f t="shared" si="18"/>
        <v/>
      </c>
      <c r="BV64" s="86" t="str">
        <f t="shared" si="19"/>
        <v/>
      </c>
      <c r="BW64" s="86" t="str">
        <f t="shared" si="20"/>
        <v/>
      </c>
      <c r="BX64" s="86" t="str">
        <f t="shared" si="21"/>
        <v/>
      </c>
      <c r="BY64" s="115" t="str">
        <f t="shared" si="22"/>
        <v/>
      </c>
      <c r="BZ64" s="87" t="str">
        <f t="shared" si="23"/>
        <v/>
      </c>
      <c r="CA64" s="86" t="str">
        <f t="shared" si="24"/>
        <v/>
      </c>
      <c r="CB64" s="85"/>
    </row>
    <row r="65" spans="1:80" x14ac:dyDescent="0.25">
      <c r="A65" s="53" t="str">
        <v>63</v>
      </c>
      <c r="B65" s="54" t="str">
        <v/>
      </c>
      <c r="C65" s="55" t="str">
        <f>IFERROR(ROUND(ENGLISH!H67,0), "")</f>
        <v/>
      </c>
      <c r="D65" s="55" t="str">
        <f>IFERROR(ROUND(ENGLISH!J67,0), "")</f>
        <v/>
      </c>
      <c r="E65" s="56" t="str">
        <f t="shared" si="7"/>
        <v/>
      </c>
      <c r="F65" s="57" t="str" cm="1">
        <f t="array" ref="F65">IF(E65&lt;&gt;"", ToGrade(E65), "")</f>
        <v/>
      </c>
      <c r="G65" s="58" t="str">
        <f>ENGLISH!L67</f>
        <v/>
      </c>
      <c r="H65" s="59" t="str" cm="1">
        <f t="array" ref="H65">IF(E65&lt;&gt;"", ToRemark(E65), "")</f>
        <v/>
      </c>
      <c r="I65" s="60"/>
      <c r="J65" s="55" t="str">
        <f>IFERROR(ROUND(MATHS!H67,0), "")</f>
        <v/>
      </c>
      <c r="K65" s="55" t="str">
        <f>IFERROR(ROUND(MATHS!J67,0), "")</f>
        <v/>
      </c>
      <c r="L65" s="56" t="str">
        <f t="shared" si="8"/>
        <v/>
      </c>
      <c r="M65" s="57" t="str" cm="1">
        <f t="array" ref="M65">IF(L65&lt;&gt;"", ToGrade(L65), "")</f>
        <v/>
      </c>
      <c r="N65" s="58" t="str">
        <f>MATHS!L67</f>
        <v/>
      </c>
      <c r="O65" s="59" t="str" cm="1">
        <f t="array" ref="O65">IF(L65&lt;&gt;"", ToRemark(L65), "")</f>
        <v/>
      </c>
      <c r="P65" s="60"/>
      <c r="Q65" s="57" t="str">
        <f>IFERROR(ROUND(SCIENCE!H67,0), "")</f>
        <v/>
      </c>
      <c r="R65" s="57" t="str">
        <f>IFERROR(ROUND(SCIENCE!J67,0), "")</f>
        <v/>
      </c>
      <c r="S65" s="56" t="str">
        <f t="shared" si="9"/>
        <v/>
      </c>
      <c r="T65" s="57" t="str" cm="1">
        <f t="array" ref="T65">IF(S65&lt;&gt;"", ToGrade(S65), "")</f>
        <v/>
      </c>
      <c r="U65" s="58" t="str">
        <f>SCIENCE!L67</f>
        <v/>
      </c>
      <c r="V65" s="59" t="str" cm="1">
        <f t="array" ref="V65">IF(S65&lt;&gt;"", ToRemark(S65), "")</f>
        <v/>
      </c>
      <c r="W65" s="60"/>
      <c r="X65" s="57" t="str">
        <f>IFERROR(ROUND(OWOP!H67,0), "")</f>
        <v/>
      </c>
      <c r="Y65" s="57" t="str">
        <f>IFERROR(ROUND(OWOP!J67,0), "")</f>
        <v/>
      </c>
      <c r="Z65" s="56" t="str">
        <f t="shared" si="10"/>
        <v/>
      </c>
      <c r="AA65" s="57" t="str" cm="1">
        <f t="array" ref="AA65">IF(Z65&lt;&gt;"", ToGrade(Z65), "")</f>
        <v/>
      </c>
      <c r="AB65" s="58" t="str">
        <f>OWOP!L67</f>
        <v/>
      </c>
      <c r="AC65" s="59" t="str" cm="1">
        <f t="array" ref="AC65">IF(Z65&lt;&gt;"", ToRemark(Z65), "")</f>
        <v/>
      </c>
      <c r="AD65" s="60"/>
      <c r="AE65" s="57" t="str">
        <f>IFERROR(ROUND('C ARTS'!H67,0), "")</f>
        <v/>
      </c>
      <c r="AF65" s="57" t="str">
        <f>IFERROR(ROUND('C ARTS'!J67,0), "")</f>
        <v/>
      </c>
      <c r="AG65" s="56" t="str">
        <f t="shared" si="11"/>
        <v/>
      </c>
      <c r="AH65" s="57" t="str" cm="1">
        <f t="array" ref="AH65">IF(AG65&lt;&gt;"", ToGrade(AG65), "")</f>
        <v/>
      </c>
      <c r="AI65" s="58" t="str">
        <f>'C ARTS'!L67</f>
        <v/>
      </c>
      <c r="AJ65" s="59" t="str" cm="1">
        <f t="array" ref="AJ65">IF(AG65&lt;&gt;"", ToRemark(AG65), "")</f>
        <v/>
      </c>
      <c r="AK65" s="60"/>
      <c r="AL65" s="57" t="str">
        <f>IFERROR(ROUND('GH LANG'!H67,0), "")</f>
        <v/>
      </c>
      <c r="AM65" s="57" t="str">
        <f>IFERROR(ROUND('GH LANG'!J67,0), "")</f>
        <v/>
      </c>
      <c r="AN65" s="61" t="str">
        <f t="shared" si="12"/>
        <v/>
      </c>
      <c r="AO65" s="57" t="str" cm="1">
        <f t="array" ref="AO65">IF(AN65&lt;&gt;"", ToGrade(AN65), "")</f>
        <v/>
      </c>
      <c r="AP65" s="58" t="str">
        <f>'GH LANG'!L67</f>
        <v/>
      </c>
      <c r="AQ65" s="59" t="str" cm="1">
        <f t="array" ref="AQ65">IF(AN65&lt;&gt;"", ToRemark(AN65), "")</f>
        <v/>
      </c>
      <c r="AR65" s="60"/>
      <c r="AS65" s="57" t="str">
        <f>IFERROR(ROUND(COMPUTING!H67,0), "")</f>
        <v/>
      </c>
      <c r="AT65" s="57" t="str">
        <f>IFERROR(ROUND(COMPUTING!J67,0), "")</f>
        <v/>
      </c>
      <c r="AU65" s="56" t="str">
        <f t="shared" si="13"/>
        <v/>
      </c>
      <c r="AV65" s="57" t="str" cm="1">
        <f t="array" ref="AV65">IF(AU65&lt;&gt;"", ToGrade(AU65), "")</f>
        <v/>
      </c>
      <c r="AW65" s="58" t="str">
        <f>COMPUTING!L67</f>
        <v/>
      </c>
      <c r="AX65" s="59" t="str" cm="1">
        <f t="array" ref="AX65">IF(AU65&lt;&gt;"", ToRemark(AU65), "")</f>
        <v/>
      </c>
      <c r="AY65" s="62"/>
      <c r="AZ65" s="57" t="str">
        <f>IFERROR(ROUND(HISTERY!H67,0), "")</f>
        <v/>
      </c>
      <c r="BA65" s="57" t="str">
        <f>IFERROR(ROUND(HISTERY!J67,0), "")</f>
        <v/>
      </c>
      <c r="BB65" s="56" t="str">
        <f t="shared" si="14"/>
        <v/>
      </c>
      <c r="BC65" s="57" t="str" cm="1">
        <f t="array" ref="BC65">IF(BB65&lt;&gt;"", ToGrade(BB65), "")</f>
        <v/>
      </c>
      <c r="BD65" s="58" t="str">
        <f>HISTERY!L67</f>
        <v/>
      </c>
      <c r="BE65" s="59" t="str" cm="1">
        <f t="array" ref="BE65">IF(BB65&lt;&gt;"", ToRemark(BB65), "")</f>
        <v/>
      </c>
      <c r="BF65" s="60"/>
      <c r="BG65" s="57" t="str">
        <f>IFERROR(ROUND(RME!H67,0), "")</f>
        <v/>
      </c>
      <c r="BH65" s="57" t="str">
        <f>IFERROR(ROUND(RME!J67,0), "")</f>
        <v/>
      </c>
      <c r="BI65" s="56" t="str">
        <f t="shared" si="15"/>
        <v/>
      </c>
      <c r="BJ65" s="57" t="str" cm="1">
        <f t="array" ref="BJ65">IF(BI65&lt;&gt;"", ToGrade(BI65), "")</f>
        <v/>
      </c>
      <c r="BK65" s="58" t="str">
        <f>RME!L67</f>
        <v/>
      </c>
      <c r="BL65" s="59" t="str" cm="1">
        <f t="array" ref="BL65">IF(BI65&lt;&gt;"", ToRemark(BI65), "")</f>
        <v/>
      </c>
      <c r="BM65" s="74"/>
      <c r="BN65" s="97" t="str">
        <f t="shared" si="16"/>
        <v/>
      </c>
      <c r="BO65" s="106" t="str">
        <f t="shared" si="17"/>
        <v/>
      </c>
      <c r="BP65" s="98" t="str" cm="1">
        <f t="array" ref="BP65">IFERROR(OrdinalNumber(_xlfn.RANK.EQ(BN65,$BN$3:$BN$101)), "")</f>
        <v/>
      </c>
      <c r="BQ65" s="104"/>
      <c r="BR65" s="99"/>
      <c r="BS65" s="111"/>
      <c r="BT65" s="83" t="str" cm="1">
        <f t="array" ref="BT65">IF(LEN(B65)&lt;&gt;0, GetTeacherRemark(BO65), "")</f>
        <v/>
      </c>
      <c r="BU65" s="86" t="str">
        <f t="shared" si="18"/>
        <v/>
      </c>
      <c r="BV65" s="86" t="str">
        <f t="shared" si="19"/>
        <v/>
      </c>
      <c r="BW65" s="86" t="str">
        <f t="shared" si="20"/>
        <v/>
      </c>
      <c r="BX65" s="86" t="str">
        <f t="shared" si="21"/>
        <v/>
      </c>
      <c r="BY65" s="115" t="str">
        <f t="shared" si="22"/>
        <v/>
      </c>
      <c r="BZ65" s="87" t="str">
        <f t="shared" si="23"/>
        <v/>
      </c>
      <c r="CA65" s="86" t="str">
        <f t="shared" si="24"/>
        <v/>
      </c>
      <c r="CB65" s="85"/>
    </row>
    <row r="66" spans="1:80" x14ac:dyDescent="0.25">
      <c r="A66" s="53" t="str">
        <v>64</v>
      </c>
      <c r="B66" s="54" t="str">
        <v/>
      </c>
      <c r="C66" s="55" t="str">
        <f>IFERROR(ROUND(ENGLISH!H68,0), "")</f>
        <v/>
      </c>
      <c r="D66" s="55" t="str">
        <f>IFERROR(ROUND(ENGLISH!J68,0), "")</f>
        <v/>
      </c>
      <c r="E66" s="56" t="str">
        <f t="shared" si="7"/>
        <v/>
      </c>
      <c r="F66" s="57" t="str" cm="1">
        <f t="array" ref="F66">IF(E66&lt;&gt;"", ToGrade(E66), "")</f>
        <v/>
      </c>
      <c r="G66" s="58" t="str">
        <f>ENGLISH!L68</f>
        <v/>
      </c>
      <c r="H66" s="59" t="str" cm="1">
        <f t="array" ref="H66">IF(E66&lt;&gt;"", ToRemark(E66), "")</f>
        <v/>
      </c>
      <c r="I66" s="60"/>
      <c r="J66" s="55" t="str">
        <f>IFERROR(ROUND(MATHS!H68,0), "")</f>
        <v/>
      </c>
      <c r="K66" s="55" t="str">
        <f>IFERROR(ROUND(MATHS!J68,0), "")</f>
        <v/>
      </c>
      <c r="L66" s="56" t="str">
        <f t="shared" si="8"/>
        <v/>
      </c>
      <c r="M66" s="57" t="str" cm="1">
        <f t="array" ref="M66">IF(L66&lt;&gt;"", ToGrade(L66), "")</f>
        <v/>
      </c>
      <c r="N66" s="58" t="str">
        <f>MATHS!L68</f>
        <v/>
      </c>
      <c r="O66" s="59" t="str" cm="1">
        <f t="array" ref="O66">IF(L66&lt;&gt;"", ToRemark(L66), "")</f>
        <v/>
      </c>
      <c r="P66" s="60"/>
      <c r="Q66" s="57" t="str">
        <f>IFERROR(ROUND(SCIENCE!H68,0), "")</f>
        <v/>
      </c>
      <c r="R66" s="57" t="str">
        <f>IFERROR(ROUND(SCIENCE!J68,0), "")</f>
        <v/>
      </c>
      <c r="S66" s="56" t="str">
        <f t="shared" si="9"/>
        <v/>
      </c>
      <c r="T66" s="57" t="str" cm="1">
        <f t="array" ref="T66">IF(S66&lt;&gt;"", ToGrade(S66), "")</f>
        <v/>
      </c>
      <c r="U66" s="58" t="str">
        <f>SCIENCE!L68</f>
        <v/>
      </c>
      <c r="V66" s="59" t="str" cm="1">
        <f t="array" ref="V66">IF(S66&lt;&gt;"", ToRemark(S66), "")</f>
        <v/>
      </c>
      <c r="W66" s="60"/>
      <c r="X66" s="57" t="str">
        <f>IFERROR(ROUND(OWOP!H68,0), "")</f>
        <v/>
      </c>
      <c r="Y66" s="57" t="str">
        <f>IFERROR(ROUND(OWOP!J68,0), "")</f>
        <v/>
      </c>
      <c r="Z66" s="56" t="str">
        <f t="shared" si="10"/>
        <v/>
      </c>
      <c r="AA66" s="57" t="str" cm="1">
        <f t="array" ref="AA66">IF(Z66&lt;&gt;"", ToGrade(Z66), "")</f>
        <v/>
      </c>
      <c r="AB66" s="58" t="str">
        <f>OWOP!L68</f>
        <v/>
      </c>
      <c r="AC66" s="59" t="str" cm="1">
        <f t="array" ref="AC66">IF(Z66&lt;&gt;"", ToRemark(Z66), "")</f>
        <v/>
      </c>
      <c r="AD66" s="60"/>
      <c r="AE66" s="57" t="str">
        <f>IFERROR(ROUND('C ARTS'!H68,0), "")</f>
        <v/>
      </c>
      <c r="AF66" s="57" t="str">
        <f>IFERROR(ROUND('C ARTS'!J68,0), "")</f>
        <v/>
      </c>
      <c r="AG66" s="56" t="str">
        <f t="shared" si="11"/>
        <v/>
      </c>
      <c r="AH66" s="57" t="str" cm="1">
        <f t="array" ref="AH66">IF(AG66&lt;&gt;"", ToGrade(AG66), "")</f>
        <v/>
      </c>
      <c r="AI66" s="58" t="str">
        <f>'C ARTS'!L68</f>
        <v/>
      </c>
      <c r="AJ66" s="59" t="str" cm="1">
        <f t="array" ref="AJ66">IF(AG66&lt;&gt;"", ToRemark(AG66), "")</f>
        <v/>
      </c>
      <c r="AK66" s="60"/>
      <c r="AL66" s="57" t="str">
        <f>IFERROR(ROUND('GH LANG'!H68,0), "")</f>
        <v/>
      </c>
      <c r="AM66" s="57" t="str">
        <f>IFERROR(ROUND('GH LANG'!J68,0), "")</f>
        <v/>
      </c>
      <c r="AN66" s="61" t="str">
        <f t="shared" si="12"/>
        <v/>
      </c>
      <c r="AO66" s="57" t="str" cm="1">
        <f t="array" ref="AO66">IF(AN66&lt;&gt;"", ToGrade(AN66), "")</f>
        <v/>
      </c>
      <c r="AP66" s="58" t="str">
        <f>'GH LANG'!L68</f>
        <v/>
      </c>
      <c r="AQ66" s="59" t="str" cm="1">
        <f t="array" ref="AQ66">IF(AN66&lt;&gt;"", ToRemark(AN66), "")</f>
        <v/>
      </c>
      <c r="AR66" s="60"/>
      <c r="AS66" s="57" t="str">
        <f>IFERROR(ROUND(COMPUTING!H68,0), "")</f>
        <v/>
      </c>
      <c r="AT66" s="57" t="str">
        <f>IFERROR(ROUND(COMPUTING!J68,0), "")</f>
        <v/>
      </c>
      <c r="AU66" s="56" t="str">
        <f t="shared" si="13"/>
        <v/>
      </c>
      <c r="AV66" s="57" t="str" cm="1">
        <f t="array" ref="AV66">IF(AU66&lt;&gt;"", ToGrade(AU66), "")</f>
        <v/>
      </c>
      <c r="AW66" s="58" t="str">
        <f>COMPUTING!L68</f>
        <v/>
      </c>
      <c r="AX66" s="59" t="str" cm="1">
        <f t="array" ref="AX66">IF(AU66&lt;&gt;"", ToRemark(AU66), "")</f>
        <v/>
      </c>
      <c r="AY66" s="62"/>
      <c r="AZ66" s="57" t="str">
        <f>IFERROR(ROUND(HISTERY!H68,0), "")</f>
        <v/>
      </c>
      <c r="BA66" s="57" t="str">
        <f>IFERROR(ROUND(HISTERY!J68,0), "")</f>
        <v/>
      </c>
      <c r="BB66" s="56" t="str">
        <f t="shared" si="14"/>
        <v/>
      </c>
      <c r="BC66" s="57" t="str" cm="1">
        <f t="array" ref="BC66">IF(BB66&lt;&gt;"", ToGrade(BB66), "")</f>
        <v/>
      </c>
      <c r="BD66" s="58" t="str">
        <f>HISTERY!L68</f>
        <v/>
      </c>
      <c r="BE66" s="59" t="str" cm="1">
        <f t="array" ref="BE66">IF(BB66&lt;&gt;"", ToRemark(BB66), "")</f>
        <v/>
      </c>
      <c r="BF66" s="60"/>
      <c r="BG66" s="57" t="str">
        <f>IFERROR(ROUND(RME!H68,0), "")</f>
        <v/>
      </c>
      <c r="BH66" s="57" t="str">
        <f>IFERROR(ROUND(RME!J68,0), "")</f>
        <v/>
      </c>
      <c r="BI66" s="56" t="str">
        <f t="shared" si="15"/>
        <v/>
      </c>
      <c r="BJ66" s="57" t="str" cm="1">
        <f t="array" ref="BJ66">IF(BI66&lt;&gt;"", ToGrade(BI66), "")</f>
        <v/>
      </c>
      <c r="BK66" s="58" t="str">
        <f>RME!L68</f>
        <v/>
      </c>
      <c r="BL66" s="59" t="str" cm="1">
        <f t="array" ref="BL66">IF(BI66&lt;&gt;"", ToRemark(BI66), "")</f>
        <v/>
      </c>
      <c r="BM66" s="74"/>
      <c r="BN66" s="97" t="str">
        <f t="shared" si="16"/>
        <v/>
      </c>
      <c r="BO66" s="106" t="str">
        <f t="shared" si="17"/>
        <v/>
      </c>
      <c r="BP66" s="98" t="str" cm="1">
        <f t="array" ref="BP66">IFERROR(OrdinalNumber(_xlfn.RANK.EQ(BN66,$BN$3:$BN$101)), "")</f>
        <v/>
      </c>
      <c r="BQ66" s="104"/>
      <c r="BR66" s="99"/>
      <c r="BS66" s="111"/>
      <c r="BT66" s="83" t="str" cm="1">
        <f t="array" ref="BT66">IF(LEN(B66)&lt;&gt;0, GetTeacherRemark(BO66), "")</f>
        <v/>
      </c>
      <c r="BU66" s="86" t="str">
        <f t="shared" si="18"/>
        <v/>
      </c>
      <c r="BV66" s="86" t="str">
        <f t="shared" si="19"/>
        <v/>
      </c>
      <c r="BW66" s="86" t="str">
        <f t="shared" si="20"/>
        <v/>
      </c>
      <c r="BX66" s="86" t="str">
        <f t="shared" si="21"/>
        <v/>
      </c>
      <c r="BY66" s="115" t="str">
        <f t="shared" si="22"/>
        <v/>
      </c>
      <c r="BZ66" s="87" t="str">
        <f t="shared" si="23"/>
        <v/>
      </c>
      <c r="CA66" s="86" t="str">
        <f t="shared" si="24"/>
        <v/>
      </c>
      <c r="CB66" s="85"/>
    </row>
    <row r="67" spans="1:80" x14ac:dyDescent="0.25">
      <c r="A67" s="53" t="str">
        <v>65</v>
      </c>
      <c r="B67" s="54" t="str">
        <v/>
      </c>
      <c r="C67" s="55" t="str">
        <f>IFERROR(ROUND(ENGLISH!H69,0), "")</f>
        <v/>
      </c>
      <c r="D67" s="55" t="str">
        <f>IFERROR(ROUND(ENGLISH!J69,0), "")</f>
        <v/>
      </c>
      <c r="E67" s="56" t="str">
        <f t="shared" si="7"/>
        <v/>
      </c>
      <c r="F67" s="57" t="str" cm="1">
        <f t="array" ref="F67">IF(E67&lt;&gt;"", ToGrade(E67), "")</f>
        <v/>
      </c>
      <c r="G67" s="58" t="str">
        <f>ENGLISH!L69</f>
        <v/>
      </c>
      <c r="H67" s="59" t="str" cm="1">
        <f t="array" ref="H67">IF(E67&lt;&gt;"", ToRemark(E67), "")</f>
        <v/>
      </c>
      <c r="I67" s="60"/>
      <c r="J67" s="55" t="str">
        <f>IFERROR(ROUND(MATHS!H69,0), "")</f>
        <v/>
      </c>
      <c r="K67" s="55" t="str">
        <f>IFERROR(ROUND(MATHS!J69,0), "")</f>
        <v/>
      </c>
      <c r="L67" s="56" t="str">
        <f t="shared" si="8"/>
        <v/>
      </c>
      <c r="M67" s="57" t="str" cm="1">
        <f t="array" ref="M67">IF(L67&lt;&gt;"", ToGrade(L67), "")</f>
        <v/>
      </c>
      <c r="N67" s="58" t="str">
        <f>MATHS!L69</f>
        <v/>
      </c>
      <c r="O67" s="59" t="str" cm="1">
        <f t="array" ref="O67">IF(L67&lt;&gt;"", ToRemark(L67), "")</f>
        <v/>
      </c>
      <c r="P67" s="60"/>
      <c r="Q67" s="57" t="str">
        <f>IFERROR(ROUND(SCIENCE!H69,0), "")</f>
        <v/>
      </c>
      <c r="R67" s="57" t="str">
        <f>IFERROR(ROUND(SCIENCE!J69,0), "")</f>
        <v/>
      </c>
      <c r="S67" s="56" t="str">
        <f t="shared" si="9"/>
        <v/>
      </c>
      <c r="T67" s="57" t="str" cm="1">
        <f t="array" ref="T67">IF(S67&lt;&gt;"", ToGrade(S67), "")</f>
        <v/>
      </c>
      <c r="U67" s="58" t="str">
        <f>SCIENCE!L69</f>
        <v/>
      </c>
      <c r="V67" s="59" t="str" cm="1">
        <f t="array" ref="V67">IF(S67&lt;&gt;"", ToRemark(S67), "")</f>
        <v/>
      </c>
      <c r="W67" s="60"/>
      <c r="X67" s="57" t="str">
        <f>IFERROR(ROUND(OWOP!H69,0), "")</f>
        <v/>
      </c>
      <c r="Y67" s="57" t="str">
        <f>IFERROR(ROUND(OWOP!J69,0), "")</f>
        <v/>
      </c>
      <c r="Z67" s="56" t="str">
        <f t="shared" si="10"/>
        <v/>
      </c>
      <c r="AA67" s="57" t="str" cm="1">
        <f t="array" ref="AA67">IF(Z67&lt;&gt;"", ToGrade(Z67), "")</f>
        <v/>
      </c>
      <c r="AB67" s="58" t="str">
        <f>OWOP!L69</f>
        <v/>
      </c>
      <c r="AC67" s="59" t="str" cm="1">
        <f t="array" ref="AC67">IF(Z67&lt;&gt;"", ToRemark(Z67), "")</f>
        <v/>
      </c>
      <c r="AD67" s="60"/>
      <c r="AE67" s="57" t="str">
        <f>IFERROR(ROUND('C ARTS'!H69,0), "")</f>
        <v/>
      </c>
      <c r="AF67" s="57" t="str">
        <f>IFERROR(ROUND('C ARTS'!J69,0), "")</f>
        <v/>
      </c>
      <c r="AG67" s="56" t="str">
        <f t="shared" si="11"/>
        <v/>
      </c>
      <c r="AH67" s="57" t="str" cm="1">
        <f t="array" ref="AH67">IF(AG67&lt;&gt;"", ToGrade(AG67), "")</f>
        <v/>
      </c>
      <c r="AI67" s="58" t="str">
        <f>'C ARTS'!L69</f>
        <v/>
      </c>
      <c r="AJ67" s="59" t="str" cm="1">
        <f t="array" ref="AJ67">IF(AG67&lt;&gt;"", ToRemark(AG67), "")</f>
        <v/>
      </c>
      <c r="AK67" s="60"/>
      <c r="AL67" s="57" t="str">
        <f>IFERROR(ROUND('GH LANG'!H69,0), "")</f>
        <v/>
      </c>
      <c r="AM67" s="57" t="str">
        <f>IFERROR(ROUND('GH LANG'!J69,0), "")</f>
        <v/>
      </c>
      <c r="AN67" s="61" t="str">
        <f t="shared" si="12"/>
        <v/>
      </c>
      <c r="AO67" s="57" t="str" cm="1">
        <f t="array" ref="AO67">IF(AN67&lt;&gt;"", ToGrade(AN67), "")</f>
        <v/>
      </c>
      <c r="AP67" s="58" t="str">
        <f>'GH LANG'!L69</f>
        <v/>
      </c>
      <c r="AQ67" s="59" t="str" cm="1">
        <f t="array" ref="AQ67">IF(AN67&lt;&gt;"", ToRemark(AN67), "")</f>
        <v/>
      </c>
      <c r="AR67" s="60"/>
      <c r="AS67" s="57" t="str">
        <f>IFERROR(ROUND(COMPUTING!H69,0), "")</f>
        <v/>
      </c>
      <c r="AT67" s="57" t="str">
        <f>IFERROR(ROUND(COMPUTING!J69,0), "")</f>
        <v/>
      </c>
      <c r="AU67" s="56" t="str">
        <f t="shared" si="13"/>
        <v/>
      </c>
      <c r="AV67" s="57" t="str" cm="1">
        <f t="array" ref="AV67">IF(AU67&lt;&gt;"", ToGrade(AU67), "")</f>
        <v/>
      </c>
      <c r="AW67" s="58" t="str">
        <f>COMPUTING!L69</f>
        <v/>
      </c>
      <c r="AX67" s="59" t="str" cm="1">
        <f t="array" ref="AX67">IF(AU67&lt;&gt;"", ToRemark(AU67), "")</f>
        <v/>
      </c>
      <c r="AY67" s="62"/>
      <c r="AZ67" s="57" t="str">
        <f>IFERROR(ROUND(HISTERY!H69,0), "")</f>
        <v/>
      </c>
      <c r="BA67" s="57" t="str">
        <f>IFERROR(ROUND(HISTERY!J69,0), "")</f>
        <v/>
      </c>
      <c r="BB67" s="56" t="str">
        <f t="shared" si="14"/>
        <v/>
      </c>
      <c r="BC67" s="57" t="str" cm="1">
        <f t="array" ref="BC67">IF(BB67&lt;&gt;"", ToGrade(BB67), "")</f>
        <v/>
      </c>
      <c r="BD67" s="58" t="str">
        <f>HISTERY!L69</f>
        <v/>
      </c>
      <c r="BE67" s="59" t="str" cm="1">
        <f t="array" ref="BE67">IF(BB67&lt;&gt;"", ToRemark(BB67), "")</f>
        <v/>
      </c>
      <c r="BF67" s="60"/>
      <c r="BG67" s="57" t="str">
        <f>IFERROR(ROUND(RME!H69,0), "")</f>
        <v/>
      </c>
      <c r="BH67" s="57" t="str">
        <f>IFERROR(ROUND(RME!J69,0), "")</f>
        <v/>
      </c>
      <c r="BI67" s="56" t="str">
        <f t="shared" si="15"/>
        <v/>
      </c>
      <c r="BJ67" s="57" t="str" cm="1">
        <f t="array" ref="BJ67">IF(BI67&lt;&gt;"", ToGrade(BI67), "")</f>
        <v/>
      </c>
      <c r="BK67" s="58" t="str">
        <f>RME!L69</f>
        <v/>
      </c>
      <c r="BL67" s="59" t="str" cm="1">
        <f t="array" ref="BL67">IF(BI67&lt;&gt;"", ToRemark(BI67), "")</f>
        <v/>
      </c>
      <c r="BM67" s="74"/>
      <c r="BN67" s="97" t="str">
        <f t="shared" si="16"/>
        <v/>
      </c>
      <c r="BO67" s="106" t="str">
        <f t="shared" si="17"/>
        <v/>
      </c>
      <c r="BP67" s="98" t="str" cm="1">
        <f t="array" ref="BP67">IFERROR(OrdinalNumber(_xlfn.RANK.EQ(BN67,$BN$3:$BN$101)), "")</f>
        <v/>
      </c>
      <c r="BQ67" s="104"/>
      <c r="BR67" s="99"/>
      <c r="BS67" s="111"/>
      <c r="BT67" s="83" t="str" cm="1">
        <f t="array" ref="BT67">IF(LEN(B67)&lt;&gt;0, GetTeacherRemark(BO67), "")</f>
        <v/>
      </c>
      <c r="BU67" s="86" t="str">
        <f t="shared" ref="BU67:BU101" si="25">IF(B67&lt;&gt;"", selected_school, "")</f>
        <v/>
      </c>
      <c r="BV67" s="86" t="str">
        <f t="shared" ref="BV67:BV101" si="26">IF(B67&lt;&gt;"",class, "")</f>
        <v/>
      </c>
      <c r="BW67" s="86" t="str">
        <f t="shared" ref="BW67:BW101" si="27">IF(B67&lt;&gt;"",class_size,"")</f>
        <v/>
      </c>
      <c r="BX67" s="86" t="str">
        <f t="shared" si="21"/>
        <v/>
      </c>
      <c r="BY67" s="115" t="str">
        <f t="shared" ref="BY67:BY101" si="28">IF(B67&lt;&gt;"",TEXT(reopen_date, "dd mmmm, yyyy"), "")</f>
        <v/>
      </c>
      <c r="BZ67" s="87" t="str">
        <f t="shared" ref="BZ67:BZ101" si="29">IF(B67&lt;&gt;"",TEXT(vacation_date, "dd mmmm, yyyy"), "")</f>
        <v/>
      </c>
      <c r="CA67" s="86" t="str">
        <f t="shared" ref="CA67:CA101" si="30">IF(B67&lt;&gt;"", total_attendance, "")</f>
        <v/>
      </c>
      <c r="CB67" s="85"/>
    </row>
    <row r="68" spans="1:80" x14ac:dyDescent="0.25">
      <c r="A68" s="53" t="str">
        <v>66</v>
      </c>
      <c r="B68" s="54" t="str">
        <v/>
      </c>
      <c r="C68" s="55" t="str">
        <f>IFERROR(ROUND(ENGLISH!H70,0), "")</f>
        <v/>
      </c>
      <c r="D68" s="55" t="str">
        <f>IFERROR(ROUND(ENGLISH!J70,0), "")</f>
        <v/>
      </c>
      <c r="E68" s="56" t="str">
        <f t="shared" ref="E68:E101" si="31">IF(SUM(C68,D68)&lt;&gt;0, SUM(C68,D68), "")</f>
        <v/>
      </c>
      <c r="F68" s="57" t="str" cm="1">
        <f t="array" ref="F68">IF(E68&lt;&gt;"", ToGrade(E68), "")</f>
        <v/>
      </c>
      <c r="G68" s="58" t="str">
        <f>ENGLISH!L70</f>
        <v/>
      </c>
      <c r="H68" s="59" t="str" cm="1">
        <f t="array" ref="H68">IF(E68&lt;&gt;"", ToRemark(E68), "")</f>
        <v/>
      </c>
      <c r="I68" s="60"/>
      <c r="J68" s="55" t="str">
        <f>IFERROR(ROUND(MATHS!H70,0), "")</f>
        <v/>
      </c>
      <c r="K68" s="55" t="str">
        <f>IFERROR(ROUND(MATHS!J70,0), "")</f>
        <v/>
      </c>
      <c r="L68" s="56" t="str">
        <f t="shared" ref="L68:L101" si="32">IF(SUM(J68,K68)&lt;&gt;0, SUM(J68,K68), "")</f>
        <v/>
      </c>
      <c r="M68" s="57" t="str" cm="1">
        <f t="array" ref="M68">IF(L68&lt;&gt;"", ToGrade(L68), "")</f>
        <v/>
      </c>
      <c r="N68" s="58" t="str">
        <f>MATHS!L70</f>
        <v/>
      </c>
      <c r="O68" s="59" t="str" cm="1">
        <f t="array" ref="O68">IF(L68&lt;&gt;"", ToRemark(L68), "")</f>
        <v/>
      </c>
      <c r="P68" s="60"/>
      <c r="Q68" s="57" t="str">
        <f>IFERROR(ROUND(SCIENCE!H70,0), "")</f>
        <v/>
      </c>
      <c r="R68" s="57" t="str">
        <f>IFERROR(ROUND(SCIENCE!J70,0), "")</f>
        <v/>
      </c>
      <c r="S68" s="56" t="str">
        <f t="shared" ref="S68:S101" si="33">IF(SUM(Q68,R68)&lt;&gt;0, SUM(Q68,R68), "")</f>
        <v/>
      </c>
      <c r="T68" s="57" t="str" cm="1">
        <f t="array" ref="T68">IF(S68&lt;&gt;"", ToGrade(S68), "")</f>
        <v/>
      </c>
      <c r="U68" s="58" t="str">
        <f>SCIENCE!L70</f>
        <v/>
      </c>
      <c r="V68" s="59" t="str" cm="1">
        <f t="array" ref="V68">IF(S68&lt;&gt;"", ToRemark(S68), "")</f>
        <v/>
      </c>
      <c r="W68" s="60"/>
      <c r="X68" s="57" t="str">
        <f>IFERROR(ROUND(OWOP!H70,0), "")</f>
        <v/>
      </c>
      <c r="Y68" s="57" t="str">
        <f>IFERROR(ROUND(OWOP!J70,0), "")</f>
        <v/>
      </c>
      <c r="Z68" s="56" t="str">
        <f t="shared" ref="Z68:Z101" si="34">IF(SUM(X68,Y68)&lt;&gt;0, SUM(X68,Y68), "")</f>
        <v/>
      </c>
      <c r="AA68" s="57" t="str" cm="1">
        <f t="array" ref="AA68">IF(Z68&lt;&gt;"", ToGrade(Z68), "")</f>
        <v/>
      </c>
      <c r="AB68" s="58" t="str">
        <f>OWOP!L70</f>
        <v/>
      </c>
      <c r="AC68" s="59" t="str" cm="1">
        <f t="array" ref="AC68">IF(Z68&lt;&gt;"", ToRemark(Z68), "")</f>
        <v/>
      </c>
      <c r="AD68" s="60"/>
      <c r="AE68" s="57" t="str">
        <f>IFERROR(ROUND('C ARTS'!H70,0), "")</f>
        <v/>
      </c>
      <c r="AF68" s="57" t="str">
        <f>IFERROR(ROUND('C ARTS'!J70,0), "")</f>
        <v/>
      </c>
      <c r="AG68" s="56" t="str">
        <f t="shared" ref="AG68:AG101" si="35">IF(SUM(AE68,AF68)&lt;&gt;0, SUM(AE68,AF68), "")</f>
        <v/>
      </c>
      <c r="AH68" s="57" t="str" cm="1">
        <f t="array" ref="AH68">IF(AG68&lt;&gt;"", ToGrade(AG68), "")</f>
        <v/>
      </c>
      <c r="AI68" s="58" t="str">
        <f>'C ARTS'!L70</f>
        <v/>
      </c>
      <c r="AJ68" s="59" t="str" cm="1">
        <f t="array" ref="AJ68">IF(AG68&lt;&gt;"", ToRemark(AG68), "")</f>
        <v/>
      </c>
      <c r="AK68" s="60"/>
      <c r="AL68" s="57" t="str">
        <f>IFERROR(ROUND('GH LANG'!H70,0), "")</f>
        <v/>
      </c>
      <c r="AM68" s="57" t="str">
        <f>IFERROR(ROUND('GH LANG'!J70,0), "")</f>
        <v/>
      </c>
      <c r="AN68" s="61" t="str">
        <f t="shared" ref="AN68:AN101" si="36">IF(SUM(AL68,AM68)&lt;&gt;0, SUM(AL68,AM68), "")</f>
        <v/>
      </c>
      <c r="AO68" s="57" t="str" cm="1">
        <f t="array" ref="AO68">IF(AN68&lt;&gt;"", ToGrade(AN68), "")</f>
        <v/>
      </c>
      <c r="AP68" s="58" t="str">
        <f>'GH LANG'!L70</f>
        <v/>
      </c>
      <c r="AQ68" s="59" t="str" cm="1">
        <f t="array" ref="AQ68">IF(AN68&lt;&gt;"", ToRemark(AN68), "")</f>
        <v/>
      </c>
      <c r="AR68" s="60"/>
      <c r="AS68" s="57" t="str">
        <f>IFERROR(ROUND(COMPUTING!H70,0), "")</f>
        <v/>
      </c>
      <c r="AT68" s="57" t="str">
        <f>IFERROR(ROUND(COMPUTING!J70,0), "")</f>
        <v/>
      </c>
      <c r="AU68" s="56" t="str">
        <f t="shared" ref="AU68:AU101" si="37">IF(SUM(AS68,AT68)&lt;&gt;0, SUM(AS68,AT68), "")</f>
        <v/>
      </c>
      <c r="AV68" s="57" t="str" cm="1">
        <f t="array" ref="AV68">IF(AU68&lt;&gt;"", ToGrade(AU68), "")</f>
        <v/>
      </c>
      <c r="AW68" s="58" t="str">
        <f>COMPUTING!L70</f>
        <v/>
      </c>
      <c r="AX68" s="59" t="str" cm="1">
        <f t="array" ref="AX68">IF(AU68&lt;&gt;"", ToRemark(AU68), "")</f>
        <v/>
      </c>
      <c r="AY68" s="62"/>
      <c r="AZ68" s="57" t="str">
        <f>IFERROR(ROUND(HISTERY!H70,0), "")</f>
        <v/>
      </c>
      <c r="BA68" s="57" t="str">
        <f>IFERROR(ROUND(HISTERY!J70,0), "")</f>
        <v/>
      </c>
      <c r="BB68" s="56" t="str">
        <f t="shared" ref="BB68:BB101" si="38">IF(SUM(AZ68,BA68)&lt;&gt;0, SUM(AZ68,BA68), "")</f>
        <v/>
      </c>
      <c r="BC68" s="57" t="str" cm="1">
        <f t="array" ref="BC68">IF(BB68&lt;&gt;"", ToGrade(BB68), "")</f>
        <v/>
      </c>
      <c r="BD68" s="58" t="str">
        <f>HISTERY!L70</f>
        <v/>
      </c>
      <c r="BE68" s="59" t="str" cm="1">
        <f t="array" ref="BE68">IF(BB68&lt;&gt;"", ToRemark(BB68), "")</f>
        <v/>
      </c>
      <c r="BF68" s="60"/>
      <c r="BG68" s="57" t="str">
        <f>IFERROR(ROUND(RME!H70,0), "")</f>
        <v/>
      </c>
      <c r="BH68" s="57" t="str">
        <f>IFERROR(ROUND(RME!J70,0), "")</f>
        <v/>
      </c>
      <c r="BI68" s="56" t="str">
        <f t="shared" ref="BI68:BI101" si="39">IF(SUM(BG68,BH68)&lt;&gt;0, SUM(BG68,BH68), "")</f>
        <v/>
      </c>
      <c r="BJ68" s="57" t="str" cm="1">
        <f t="array" ref="BJ68">IF(BI68&lt;&gt;"", ToGrade(BI68), "")</f>
        <v/>
      </c>
      <c r="BK68" s="58" t="str">
        <f>RME!L70</f>
        <v/>
      </c>
      <c r="BL68" s="59" t="str" cm="1">
        <f t="array" ref="BL68">IF(BI68&lt;&gt;"", ToRemark(BI68), "")</f>
        <v/>
      </c>
      <c r="BM68" s="74"/>
      <c r="BN68" s="97" t="str">
        <f t="shared" ref="BN68:BN101" si="40">IF(B68&lt;&gt;"", SUM(E68,L68,S68,Z68,AG68,AN68,AU68,BB68,BI68), "")</f>
        <v/>
      </c>
      <c r="BO68" s="106" t="str">
        <f t="shared" ref="BO68:BO101" si="41">IFERROR(IF(BM68&lt;&gt;0, BN68/10, BN68/9), "")</f>
        <v/>
      </c>
      <c r="BP68" s="98" t="str" cm="1">
        <f t="array" ref="BP68">IFERROR(OrdinalNumber(_xlfn.RANK.EQ(BN68,$BN$3:$BN$101)), "")</f>
        <v/>
      </c>
      <c r="BQ68" s="104"/>
      <c r="BR68" s="99"/>
      <c r="BS68" s="111"/>
      <c r="BT68" s="83" t="str" cm="1">
        <f t="array" ref="BT68">IF(LEN(B68)&lt;&gt;0, GetTeacherRemark(BO68), "")</f>
        <v/>
      </c>
      <c r="BU68" s="86" t="str">
        <f t="shared" si="25"/>
        <v/>
      </c>
      <c r="BV68" s="86" t="str">
        <f t="shared" si="26"/>
        <v/>
      </c>
      <c r="BW68" s="86" t="str">
        <f t="shared" si="27"/>
        <v/>
      </c>
      <c r="BX68" s="86" t="str">
        <f t="shared" ref="BX68:BX101" si="42">IF(B68&lt;&gt;"", term, "")</f>
        <v/>
      </c>
      <c r="BY68" s="115" t="str">
        <f t="shared" si="28"/>
        <v/>
      </c>
      <c r="BZ68" s="87" t="str">
        <f t="shared" si="29"/>
        <v/>
      </c>
      <c r="CA68" s="86" t="str">
        <f t="shared" si="30"/>
        <v/>
      </c>
      <c r="CB68" s="85"/>
    </row>
    <row r="69" spans="1:80" x14ac:dyDescent="0.25">
      <c r="A69" s="53" t="str">
        <v>67</v>
      </c>
      <c r="B69" s="54" t="str">
        <v/>
      </c>
      <c r="C69" s="55" t="str">
        <f>IFERROR(ROUND(ENGLISH!H71,0), "")</f>
        <v/>
      </c>
      <c r="D69" s="55" t="str">
        <f>IFERROR(ROUND(ENGLISH!J71,0), "")</f>
        <v/>
      </c>
      <c r="E69" s="56" t="str">
        <f t="shared" si="31"/>
        <v/>
      </c>
      <c r="F69" s="57" t="str" cm="1">
        <f t="array" ref="F69">IF(E69&lt;&gt;"", ToGrade(E69), "")</f>
        <v/>
      </c>
      <c r="G69" s="58" t="str">
        <f>ENGLISH!L71</f>
        <v/>
      </c>
      <c r="H69" s="59" t="str" cm="1">
        <f t="array" ref="H69">IF(E69&lt;&gt;"", ToRemark(E69), "")</f>
        <v/>
      </c>
      <c r="I69" s="60"/>
      <c r="J69" s="55" t="str">
        <f>IFERROR(ROUND(MATHS!H71,0), "")</f>
        <v/>
      </c>
      <c r="K69" s="55" t="str">
        <f>IFERROR(ROUND(MATHS!J71,0), "")</f>
        <v/>
      </c>
      <c r="L69" s="56" t="str">
        <f t="shared" si="32"/>
        <v/>
      </c>
      <c r="M69" s="57" t="str" cm="1">
        <f t="array" ref="M69">IF(L69&lt;&gt;"", ToGrade(L69), "")</f>
        <v/>
      </c>
      <c r="N69" s="58" t="str">
        <f>MATHS!L71</f>
        <v/>
      </c>
      <c r="O69" s="59" t="str" cm="1">
        <f t="array" ref="O69">IF(L69&lt;&gt;"", ToRemark(L69), "")</f>
        <v/>
      </c>
      <c r="P69" s="60"/>
      <c r="Q69" s="57" t="str">
        <f>IFERROR(ROUND(SCIENCE!H71,0), "")</f>
        <v/>
      </c>
      <c r="R69" s="57" t="str">
        <f>IFERROR(ROUND(SCIENCE!J71,0), "")</f>
        <v/>
      </c>
      <c r="S69" s="56" t="str">
        <f t="shared" si="33"/>
        <v/>
      </c>
      <c r="T69" s="57" t="str" cm="1">
        <f t="array" ref="T69">IF(S69&lt;&gt;"", ToGrade(S69), "")</f>
        <v/>
      </c>
      <c r="U69" s="58" t="str">
        <f>SCIENCE!L71</f>
        <v/>
      </c>
      <c r="V69" s="59" t="str" cm="1">
        <f t="array" ref="V69">IF(S69&lt;&gt;"", ToRemark(S69), "")</f>
        <v/>
      </c>
      <c r="W69" s="60"/>
      <c r="X69" s="57" t="str">
        <f>IFERROR(ROUND(OWOP!H71,0), "")</f>
        <v/>
      </c>
      <c r="Y69" s="57" t="str">
        <f>IFERROR(ROUND(OWOP!J71,0), "")</f>
        <v/>
      </c>
      <c r="Z69" s="56" t="str">
        <f t="shared" si="34"/>
        <v/>
      </c>
      <c r="AA69" s="57" t="str" cm="1">
        <f t="array" ref="AA69">IF(Z69&lt;&gt;"", ToGrade(Z69), "")</f>
        <v/>
      </c>
      <c r="AB69" s="58" t="str">
        <f>OWOP!L71</f>
        <v/>
      </c>
      <c r="AC69" s="59" t="str" cm="1">
        <f t="array" ref="AC69">IF(Z69&lt;&gt;"", ToRemark(Z69), "")</f>
        <v/>
      </c>
      <c r="AD69" s="60"/>
      <c r="AE69" s="57" t="str">
        <f>IFERROR(ROUND('C ARTS'!H71,0), "")</f>
        <v/>
      </c>
      <c r="AF69" s="57" t="str">
        <f>IFERROR(ROUND('C ARTS'!J71,0), "")</f>
        <v/>
      </c>
      <c r="AG69" s="56" t="str">
        <f t="shared" si="35"/>
        <v/>
      </c>
      <c r="AH69" s="57" t="str" cm="1">
        <f t="array" ref="AH69">IF(AG69&lt;&gt;"", ToGrade(AG69), "")</f>
        <v/>
      </c>
      <c r="AI69" s="58" t="str">
        <f>'C ARTS'!L71</f>
        <v/>
      </c>
      <c r="AJ69" s="59" t="str" cm="1">
        <f t="array" ref="AJ69">IF(AG69&lt;&gt;"", ToRemark(AG69), "")</f>
        <v/>
      </c>
      <c r="AK69" s="60"/>
      <c r="AL69" s="57" t="str">
        <f>IFERROR(ROUND('GH LANG'!H71,0), "")</f>
        <v/>
      </c>
      <c r="AM69" s="57" t="str">
        <f>IFERROR(ROUND('GH LANG'!J71,0), "")</f>
        <v/>
      </c>
      <c r="AN69" s="61" t="str">
        <f t="shared" si="36"/>
        <v/>
      </c>
      <c r="AO69" s="57" t="str" cm="1">
        <f t="array" ref="AO69">IF(AN69&lt;&gt;"", ToGrade(AN69), "")</f>
        <v/>
      </c>
      <c r="AP69" s="58" t="str">
        <f>'GH LANG'!L71</f>
        <v/>
      </c>
      <c r="AQ69" s="59" t="str" cm="1">
        <f t="array" ref="AQ69">IF(AN69&lt;&gt;"", ToRemark(AN69), "")</f>
        <v/>
      </c>
      <c r="AR69" s="60"/>
      <c r="AS69" s="57" t="str">
        <f>IFERROR(ROUND(COMPUTING!H71,0), "")</f>
        <v/>
      </c>
      <c r="AT69" s="57" t="str">
        <f>IFERROR(ROUND(COMPUTING!J71,0), "")</f>
        <v/>
      </c>
      <c r="AU69" s="56" t="str">
        <f t="shared" si="37"/>
        <v/>
      </c>
      <c r="AV69" s="57" t="str" cm="1">
        <f t="array" ref="AV69">IF(AU69&lt;&gt;"", ToGrade(AU69), "")</f>
        <v/>
      </c>
      <c r="AW69" s="58" t="str">
        <f>COMPUTING!L71</f>
        <v/>
      </c>
      <c r="AX69" s="59" t="str" cm="1">
        <f t="array" ref="AX69">IF(AU69&lt;&gt;"", ToRemark(AU69), "")</f>
        <v/>
      </c>
      <c r="AY69" s="62"/>
      <c r="AZ69" s="57" t="str">
        <f>IFERROR(ROUND(HISTERY!H71,0), "")</f>
        <v/>
      </c>
      <c r="BA69" s="57" t="str">
        <f>IFERROR(ROUND(HISTERY!J71,0), "")</f>
        <v/>
      </c>
      <c r="BB69" s="56" t="str">
        <f t="shared" si="38"/>
        <v/>
      </c>
      <c r="BC69" s="57" t="str" cm="1">
        <f t="array" ref="BC69">IF(BB69&lt;&gt;"", ToGrade(BB69), "")</f>
        <v/>
      </c>
      <c r="BD69" s="58" t="str">
        <f>HISTERY!L71</f>
        <v/>
      </c>
      <c r="BE69" s="59" t="str" cm="1">
        <f t="array" ref="BE69">IF(BB69&lt;&gt;"", ToRemark(BB69), "")</f>
        <v/>
      </c>
      <c r="BF69" s="60"/>
      <c r="BG69" s="57" t="str">
        <f>IFERROR(ROUND(RME!H71,0), "")</f>
        <v/>
      </c>
      <c r="BH69" s="57" t="str">
        <f>IFERROR(ROUND(RME!J71,0), "")</f>
        <v/>
      </c>
      <c r="BI69" s="56" t="str">
        <f t="shared" si="39"/>
        <v/>
      </c>
      <c r="BJ69" s="57" t="str" cm="1">
        <f t="array" ref="BJ69">IF(BI69&lt;&gt;"", ToGrade(BI69), "")</f>
        <v/>
      </c>
      <c r="BK69" s="58" t="str">
        <f>RME!L71</f>
        <v/>
      </c>
      <c r="BL69" s="59" t="str" cm="1">
        <f t="array" ref="BL69">IF(BI69&lt;&gt;"", ToRemark(BI69), "")</f>
        <v/>
      </c>
      <c r="BM69" s="74"/>
      <c r="BN69" s="97" t="str">
        <f t="shared" si="40"/>
        <v/>
      </c>
      <c r="BO69" s="106" t="str">
        <f t="shared" si="41"/>
        <v/>
      </c>
      <c r="BP69" s="98" t="str" cm="1">
        <f t="array" ref="BP69">IFERROR(OrdinalNumber(_xlfn.RANK.EQ(BN69,$BN$3:$BN$101)), "")</f>
        <v/>
      </c>
      <c r="BQ69" s="104"/>
      <c r="BR69" s="99"/>
      <c r="BS69" s="111"/>
      <c r="BT69" s="83" t="str" cm="1">
        <f t="array" ref="BT69">IF(LEN(B69)&lt;&gt;0, GetTeacherRemark(BO69), "")</f>
        <v/>
      </c>
      <c r="BU69" s="86" t="str">
        <f t="shared" si="25"/>
        <v/>
      </c>
      <c r="BV69" s="86" t="str">
        <f t="shared" si="26"/>
        <v/>
      </c>
      <c r="BW69" s="86" t="str">
        <f t="shared" si="27"/>
        <v/>
      </c>
      <c r="BX69" s="86" t="str">
        <f t="shared" si="42"/>
        <v/>
      </c>
      <c r="BY69" s="115" t="str">
        <f t="shared" si="28"/>
        <v/>
      </c>
      <c r="BZ69" s="87" t="str">
        <f t="shared" si="29"/>
        <v/>
      </c>
      <c r="CA69" s="86" t="str">
        <f t="shared" si="30"/>
        <v/>
      </c>
      <c r="CB69" s="85"/>
    </row>
    <row r="70" spans="1:80" x14ac:dyDescent="0.25">
      <c r="A70" s="53" t="str">
        <v>68</v>
      </c>
      <c r="B70" s="54" t="str">
        <v/>
      </c>
      <c r="C70" s="55" t="str">
        <f>IFERROR(ROUND(ENGLISH!H72,0), "")</f>
        <v/>
      </c>
      <c r="D70" s="55" t="str">
        <f>IFERROR(ROUND(ENGLISH!J72,0), "")</f>
        <v/>
      </c>
      <c r="E70" s="56" t="str">
        <f t="shared" si="31"/>
        <v/>
      </c>
      <c r="F70" s="57" t="str" cm="1">
        <f t="array" ref="F70">IF(E70&lt;&gt;"", ToGrade(E70), "")</f>
        <v/>
      </c>
      <c r="G70" s="58" t="str">
        <f>ENGLISH!L72</f>
        <v/>
      </c>
      <c r="H70" s="59" t="str" cm="1">
        <f t="array" ref="H70">IF(E70&lt;&gt;"", ToRemark(E70), "")</f>
        <v/>
      </c>
      <c r="I70" s="60"/>
      <c r="J70" s="55" t="str">
        <f>IFERROR(ROUND(MATHS!H72,0), "")</f>
        <v/>
      </c>
      <c r="K70" s="55" t="str">
        <f>IFERROR(ROUND(MATHS!J72,0), "")</f>
        <v/>
      </c>
      <c r="L70" s="56" t="str">
        <f t="shared" si="32"/>
        <v/>
      </c>
      <c r="M70" s="57" t="str" cm="1">
        <f t="array" ref="M70">IF(L70&lt;&gt;"", ToGrade(L70), "")</f>
        <v/>
      </c>
      <c r="N70" s="58" t="str">
        <f>MATHS!L72</f>
        <v/>
      </c>
      <c r="O70" s="59" t="str" cm="1">
        <f t="array" ref="O70">IF(L70&lt;&gt;"", ToRemark(L70), "")</f>
        <v/>
      </c>
      <c r="P70" s="60"/>
      <c r="Q70" s="57" t="str">
        <f>IFERROR(ROUND(SCIENCE!H72,0), "")</f>
        <v/>
      </c>
      <c r="R70" s="57" t="str">
        <f>IFERROR(ROUND(SCIENCE!J72,0), "")</f>
        <v/>
      </c>
      <c r="S70" s="56" t="str">
        <f t="shared" si="33"/>
        <v/>
      </c>
      <c r="T70" s="57" t="str" cm="1">
        <f t="array" ref="T70">IF(S70&lt;&gt;"", ToGrade(S70), "")</f>
        <v/>
      </c>
      <c r="U70" s="58" t="str">
        <f>SCIENCE!L72</f>
        <v/>
      </c>
      <c r="V70" s="59" t="str" cm="1">
        <f t="array" ref="V70">IF(S70&lt;&gt;"", ToRemark(S70), "")</f>
        <v/>
      </c>
      <c r="W70" s="60"/>
      <c r="X70" s="57" t="str">
        <f>IFERROR(ROUND(OWOP!H72,0), "")</f>
        <v/>
      </c>
      <c r="Y70" s="57" t="str">
        <f>IFERROR(ROUND(OWOP!J72,0), "")</f>
        <v/>
      </c>
      <c r="Z70" s="56" t="str">
        <f t="shared" si="34"/>
        <v/>
      </c>
      <c r="AA70" s="57" t="str" cm="1">
        <f t="array" ref="AA70">IF(Z70&lt;&gt;"", ToGrade(Z70), "")</f>
        <v/>
      </c>
      <c r="AB70" s="58" t="str">
        <f>OWOP!L72</f>
        <v/>
      </c>
      <c r="AC70" s="59" t="str" cm="1">
        <f t="array" ref="AC70">IF(Z70&lt;&gt;"", ToRemark(Z70), "")</f>
        <v/>
      </c>
      <c r="AD70" s="60"/>
      <c r="AE70" s="57" t="str">
        <f>IFERROR(ROUND('C ARTS'!H72,0), "")</f>
        <v/>
      </c>
      <c r="AF70" s="57" t="str">
        <f>IFERROR(ROUND('C ARTS'!J72,0), "")</f>
        <v/>
      </c>
      <c r="AG70" s="56" t="str">
        <f t="shared" si="35"/>
        <v/>
      </c>
      <c r="AH70" s="57" t="str" cm="1">
        <f t="array" ref="AH70">IF(AG70&lt;&gt;"", ToGrade(AG70), "")</f>
        <v/>
      </c>
      <c r="AI70" s="58" t="str">
        <f>'C ARTS'!L72</f>
        <v/>
      </c>
      <c r="AJ70" s="59" t="str" cm="1">
        <f t="array" ref="AJ70">IF(AG70&lt;&gt;"", ToRemark(AG70), "")</f>
        <v/>
      </c>
      <c r="AK70" s="60"/>
      <c r="AL70" s="57" t="str">
        <f>IFERROR(ROUND('GH LANG'!H72,0), "")</f>
        <v/>
      </c>
      <c r="AM70" s="57" t="str">
        <f>IFERROR(ROUND('GH LANG'!J72,0), "")</f>
        <v/>
      </c>
      <c r="AN70" s="61" t="str">
        <f t="shared" si="36"/>
        <v/>
      </c>
      <c r="AO70" s="57" t="str" cm="1">
        <f t="array" ref="AO70">IF(AN70&lt;&gt;"", ToGrade(AN70), "")</f>
        <v/>
      </c>
      <c r="AP70" s="58" t="str">
        <f>'GH LANG'!L72</f>
        <v/>
      </c>
      <c r="AQ70" s="59" t="str" cm="1">
        <f t="array" ref="AQ70">IF(AN70&lt;&gt;"", ToRemark(AN70), "")</f>
        <v/>
      </c>
      <c r="AR70" s="60"/>
      <c r="AS70" s="57" t="str">
        <f>IFERROR(ROUND(COMPUTING!H72,0), "")</f>
        <v/>
      </c>
      <c r="AT70" s="57" t="str">
        <f>IFERROR(ROUND(COMPUTING!J72,0), "")</f>
        <v/>
      </c>
      <c r="AU70" s="56" t="str">
        <f t="shared" si="37"/>
        <v/>
      </c>
      <c r="AV70" s="57" t="str" cm="1">
        <f t="array" ref="AV70">IF(AU70&lt;&gt;"", ToGrade(AU70), "")</f>
        <v/>
      </c>
      <c r="AW70" s="58" t="str">
        <f>COMPUTING!L72</f>
        <v/>
      </c>
      <c r="AX70" s="59" t="str" cm="1">
        <f t="array" ref="AX70">IF(AU70&lt;&gt;"", ToRemark(AU70), "")</f>
        <v/>
      </c>
      <c r="AY70" s="62"/>
      <c r="AZ70" s="57" t="str">
        <f>IFERROR(ROUND(HISTERY!H72,0), "")</f>
        <v/>
      </c>
      <c r="BA70" s="57" t="str">
        <f>IFERROR(ROUND(HISTERY!J72,0), "")</f>
        <v/>
      </c>
      <c r="BB70" s="56" t="str">
        <f t="shared" si="38"/>
        <v/>
      </c>
      <c r="BC70" s="57" t="str" cm="1">
        <f t="array" ref="BC70">IF(BB70&lt;&gt;"", ToGrade(BB70), "")</f>
        <v/>
      </c>
      <c r="BD70" s="58" t="str">
        <f>HISTERY!L72</f>
        <v/>
      </c>
      <c r="BE70" s="59" t="str" cm="1">
        <f t="array" ref="BE70">IF(BB70&lt;&gt;"", ToRemark(BB70), "")</f>
        <v/>
      </c>
      <c r="BF70" s="60"/>
      <c r="BG70" s="57" t="str">
        <f>IFERROR(ROUND(RME!H72,0), "")</f>
        <v/>
      </c>
      <c r="BH70" s="57" t="str">
        <f>IFERROR(ROUND(RME!J72,0), "")</f>
        <v/>
      </c>
      <c r="BI70" s="56" t="str">
        <f t="shared" si="39"/>
        <v/>
      </c>
      <c r="BJ70" s="57" t="str" cm="1">
        <f t="array" ref="BJ70">IF(BI70&lt;&gt;"", ToGrade(BI70), "")</f>
        <v/>
      </c>
      <c r="BK70" s="58" t="str">
        <f>RME!L72</f>
        <v/>
      </c>
      <c r="BL70" s="59" t="str" cm="1">
        <f t="array" ref="BL70">IF(BI70&lt;&gt;"", ToRemark(BI70), "")</f>
        <v/>
      </c>
      <c r="BM70" s="74"/>
      <c r="BN70" s="97" t="str">
        <f t="shared" si="40"/>
        <v/>
      </c>
      <c r="BO70" s="106" t="str">
        <f t="shared" si="41"/>
        <v/>
      </c>
      <c r="BP70" s="98" t="str" cm="1">
        <f t="array" ref="BP70">IFERROR(OrdinalNumber(_xlfn.RANK.EQ(BN70,$BN$3:$BN$101)), "")</f>
        <v/>
      </c>
      <c r="BQ70" s="104"/>
      <c r="BR70" s="99"/>
      <c r="BS70" s="111"/>
      <c r="BT70" s="83" t="str" cm="1">
        <f t="array" ref="BT70">IF(LEN(B70)&lt;&gt;0, GetTeacherRemark(BO70), "")</f>
        <v/>
      </c>
      <c r="BU70" s="86" t="str">
        <f t="shared" si="25"/>
        <v/>
      </c>
      <c r="BV70" s="86" t="str">
        <f t="shared" si="26"/>
        <v/>
      </c>
      <c r="BW70" s="86" t="str">
        <f t="shared" si="27"/>
        <v/>
      </c>
      <c r="BX70" s="86" t="str">
        <f t="shared" si="42"/>
        <v/>
      </c>
      <c r="BY70" s="115" t="str">
        <f t="shared" si="28"/>
        <v/>
      </c>
      <c r="BZ70" s="87" t="str">
        <f t="shared" si="29"/>
        <v/>
      </c>
      <c r="CA70" s="86" t="str">
        <f t="shared" si="30"/>
        <v/>
      </c>
      <c r="CB70" s="85"/>
    </row>
    <row r="71" spans="1:80" x14ac:dyDescent="0.25">
      <c r="A71" s="53" t="str">
        <v>69</v>
      </c>
      <c r="B71" s="54" t="str">
        <v/>
      </c>
      <c r="C71" s="55" t="str">
        <f>IFERROR(ROUND(ENGLISH!H73,0), "")</f>
        <v/>
      </c>
      <c r="D71" s="55" t="str">
        <f>IFERROR(ROUND(ENGLISH!J73,0), "")</f>
        <v/>
      </c>
      <c r="E71" s="56" t="str">
        <f t="shared" si="31"/>
        <v/>
      </c>
      <c r="F71" s="57" t="str" cm="1">
        <f t="array" ref="F71">IF(E71&lt;&gt;"", ToGrade(E71), "")</f>
        <v/>
      </c>
      <c r="G71" s="58" t="str">
        <f>ENGLISH!L73</f>
        <v/>
      </c>
      <c r="H71" s="59" t="str" cm="1">
        <f t="array" ref="H71">IF(E71&lt;&gt;"", ToRemark(E71), "")</f>
        <v/>
      </c>
      <c r="I71" s="60"/>
      <c r="J71" s="55" t="str">
        <f>IFERROR(ROUND(MATHS!H73,0), "")</f>
        <v/>
      </c>
      <c r="K71" s="55" t="str">
        <f>IFERROR(ROUND(MATHS!J73,0), "")</f>
        <v/>
      </c>
      <c r="L71" s="56" t="str">
        <f t="shared" si="32"/>
        <v/>
      </c>
      <c r="M71" s="57" t="str" cm="1">
        <f t="array" ref="M71">IF(L71&lt;&gt;"", ToGrade(L71), "")</f>
        <v/>
      </c>
      <c r="N71" s="58" t="str">
        <f>MATHS!L73</f>
        <v/>
      </c>
      <c r="O71" s="59" t="str" cm="1">
        <f t="array" ref="O71">IF(L71&lt;&gt;"", ToRemark(L71), "")</f>
        <v/>
      </c>
      <c r="P71" s="60"/>
      <c r="Q71" s="57" t="str">
        <f>IFERROR(ROUND(SCIENCE!H73,0), "")</f>
        <v/>
      </c>
      <c r="R71" s="57" t="str">
        <f>IFERROR(ROUND(SCIENCE!J73,0), "")</f>
        <v/>
      </c>
      <c r="S71" s="56" t="str">
        <f t="shared" si="33"/>
        <v/>
      </c>
      <c r="T71" s="57" t="str" cm="1">
        <f t="array" ref="T71">IF(S71&lt;&gt;"", ToGrade(S71), "")</f>
        <v/>
      </c>
      <c r="U71" s="58" t="str">
        <f>SCIENCE!L73</f>
        <v/>
      </c>
      <c r="V71" s="59" t="str" cm="1">
        <f t="array" ref="V71">IF(S71&lt;&gt;"", ToRemark(S71), "")</f>
        <v/>
      </c>
      <c r="W71" s="60"/>
      <c r="X71" s="57" t="str">
        <f>IFERROR(ROUND(OWOP!H73,0), "")</f>
        <v/>
      </c>
      <c r="Y71" s="57" t="str">
        <f>IFERROR(ROUND(OWOP!J73,0), "")</f>
        <v/>
      </c>
      <c r="Z71" s="56" t="str">
        <f t="shared" si="34"/>
        <v/>
      </c>
      <c r="AA71" s="57" t="str" cm="1">
        <f t="array" ref="AA71">IF(Z71&lt;&gt;"", ToGrade(Z71), "")</f>
        <v/>
      </c>
      <c r="AB71" s="58" t="str">
        <f>OWOP!L73</f>
        <v/>
      </c>
      <c r="AC71" s="59" t="str" cm="1">
        <f t="array" ref="AC71">IF(Z71&lt;&gt;"", ToRemark(Z71), "")</f>
        <v/>
      </c>
      <c r="AD71" s="60"/>
      <c r="AE71" s="57" t="str">
        <f>IFERROR(ROUND('C ARTS'!H73,0), "")</f>
        <v/>
      </c>
      <c r="AF71" s="57" t="str">
        <f>IFERROR(ROUND('C ARTS'!J73,0), "")</f>
        <v/>
      </c>
      <c r="AG71" s="56" t="str">
        <f t="shared" si="35"/>
        <v/>
      </c>
      <c r="AH71" s="57" t="str" cm="1">
        <f t="array" ref="AH71">IF(AG71&lt;&gt;"", ToGrade(AG71), "")</f>
        <v/>
      </c>
      <c r="AI71" s="58" t="str">
        <f>'C ARTS'!L73</f>
        <v/>
      </c>
      <c r="AJ71" s="59" t="str" cm="1">
        <f t="array" ref="AJ71">IF(AG71&lt;&gt;"", ToRemark(AG71), "")</f>
        <v/>
      </c>
      <c r="AK71" s="60"/>
      <c r="AL71" s="57" t="str">
        <f>IFERROR(ROUND('GH LANG'!H73,0), "")</f>
        <v/>
      </c>
      <c r="AM71" s="57" t="str">
        <f>IFERROR(ROUND('GH LANG'!J73,0), "")</f>
        <v/>
      </c>
      <c r="AN71" s="61" t="str">
        <f t="shared" si="36"/>
        <v/>
      </c>
      <c r="AO71" s="57" t="str" cm="1">
        <f t="array" ref="AO71">IF(AN71&lt;&gt;"", ToGrade(AN71), "")</f>
        <v/>
      </c>
      <c r="AP71" s="58" t="str">
        <f>'GH LANG'!L73</f>
        <v/>
      </c>
      <c r="AQ71" s="59" t="str" cm="1">
        <f t="array" ref="AQ71">IF(AN71&lt;&gt;"", ToRemark(AN71), "")</f>
        <v/>
      </c>
      <c r="AR71" s="60"/>
      <c r="AS71" s="57" t="str">
        <f>IFERROR(ROUND(COMPUTING!H73,0), "")</f>
        <v/>
      </c>
      <c r="AT71" s="57" t="str">
        <f>IFERROR(ROUND(COMPUTING!J73,0), "")</f>
        <v/>
      </c>
      <c r="AU71" s="56" t="str">
        <f t="shared" si="37"/>
        <v/>
      </c>
      <c r="AV71" s="57" t="str" cm="1">
        <f t="array" ref="AV71">IF(AU71&lt;&gt;"", ToGrade(AU71), "")</f>
        <v/>
      </c>
      <c r="AW71" s="58" t="str">
        <f>COMPUTING!L73</f>
        <v/>
      </c>
      <c r="AX71" s="59" t="str" cm="1">
        <f t="array" ref="AX71">IF(AU71&lt;&gt;"", ToRemark(AU71), "")</f>
        <v/>
      </c>
      <c r="AY71" s="62"/>
      <c r="AZ71" s="57" t="str">
        <f>IFERROR(ROUND(HISTERY!H73,0), "")</f>
        <v/>
      </c>
      <c r="BA71" s="57" t="str">
        <f>IFERROR(ROUND(HISTERY!J73,0), "")</f>
        <v/>
      </c>
      <c r="BB71" s="56" t="str">
        <f t="shared" si="38"/>
        <v/>
      </c>
      <c r="BC71" s="57" t="str" cm="1">
        <f t="array" ref="BC71">IF(BB71&lt;&gt;"", ToGrade(BB71), "")</f>
        <v/>
      </c>
      <c r="BD71" s="58" t="str">
        <f>HISTERY!L73</f>
        <v/>
      </c>
      <c r="BE71" s="59" t="str" cm="1">
        <f t="array" ref="BE71">IF(BB71&lt;&gt;"", ToRemark(BB71), "")</f>
        <v/>
      </c>
      <c r="BF71" s="60"/>
      <c r="BG71" s="57" t="str">
        <f>IFERROR(ROUND(RME!H73,0), "")</f>
        <v/>
      </c>
      <c r="BH71" s="57" t="str">
        <f>IFERROR(ROUND(RME!J73,0), "")</f>
        <v/>
      </c>
      <c r="BI71" s="56" t="str">
        <f t="shared" si="39"/>
        <v/>
      </c>
      <c r="BJ71" s="57" t="str" cm="1">
        <f t="array" ref="BJ71">IF(BI71&lt;&gt;"", ToGrade(BI71), "")</f>
        <v/>
      </c>
      <c r="BK71" s="58" t="str">
        <f>RME!L73</f>
        <v/>
      </c>
      <c r="BL71" s="59" t="str" cm="1">
        <f t="array" ref="BL71">IF(BI71&lt;&gt;"", ToRemark(BI71), "")</f>
        <v/>
      </c>
      <c r="BM71" s="74"/>
      <c r="BN71" s="97" t="str">
        <f t="shared" si="40"/>
        <v/>
      </c>
      <c r="BO71" s="106" t="str">
        <f t="shared" si="41"/>
        <v/>
      </c>
      <c r="BP71" s="98" t="str" cm="1">
        <f t="array" ref="BP71">IFERROR(OrdinalNumber(_xlfn.RANK.EQ(BN71,$BN$3:$BN$101)), "")</f>
        <v/>
      </c>
      <c r="BQ71" s="104"/>
      <c r="BR71" s="99"/>
      <c r="BS71" s="111"/>
      <c r="BT71" s="83" t="str" cm="1">
        <f t="array" ref="BT71">IF(LEN(B71)&lt;&gt;0, GetTeacherRemark(BO71), "")</f>
        <v/>
      </c>
      <c r="BU71" s="86" t="str">
        <f t="shared" si="25"/>
        <v/>
      </c>
      <c r="BV71" s="86" t="str">
        <f t="shared" si="26"/>
        <v/>
      </c>
      <c r="BW71" s="86" t="str">
        <f t="shared" si="27"/>
        <v/>
      </c>
      <c r="BX71" s="86" t="str">
        <f t="shared" si="42"/>
        <v/>
      </c>
      <c r="BY71" s="115" t="str">
        <f t="shared" si="28"/>
        <v/>
      </c>
      <c r="BZ71" s="87" t="str">
        <f t="shared" si="29"/>
        <v/>
      </c>
      <c r="CA71" s="86" t="str">
        <f t="shared" si="30"/>
        <v/>
      </c>
      <c r="CB71" s="85"/>
    </row>
    <row r="72" spans="1:80" x14ac:dyDescent="0.25">
      <c r="A72" s="53" t="str">
        <v>70</v>
      </c>
      <c r="B72" s="54" t="str">
        <v/>
      </c>
      <c r="C72" s="55" t="str">
        <f>IFERROR(ROUND(ENGLISH!H74,0), "")</f>
        <v/>
      </c>
      <c r="D72" s="55" t="str">
        <f>IFERROR(ROUND(ENGLISH!J74,0), "")</f>
        <v/>
      </c>
      <c r="E72" s="56" t="str">
        <f t="shared" si="31"/>
        <v/>
      </c>
      <c r="F72" s="57" t="str" cm="1">
        <f t="array" ref="F72">IF(E72&lt;&gt;"", ToGrade(E72), "")</f>
        <v/>
      </c>
      <c r="G72" s="58" t="str">
        <f>ENGLISH!L74</f>
        <v/>
      </c>
      <c r="H72" s="59" t="str" cm="1">
        <f t="array" ref="H72">IF(E72&lt;&gt;"", ToRemark(E72), "")</f>
        <v/>
      </c>
      <c r="I72" s="60"/>
      <c r="J72" s="55" t="str">
        <f>IFERROR(ROUND(MATHS!H74,0), "")</f>
        <v/>
      </c>
      <c r="K72" s="55" t="str">
        <f>IFERROR(ROUND(MATHS!J74,0), "")</f>
        <v/>
      </c>
      <c r="L72" s="56" t="str">
        <f t="shared" si="32"/>
        <v/>
      </c>
      <c r="M72" s="57" t="str" cm="1">
        <f t="array" ref="M72">IF(L72&lt;&gt;"", ToGrade(L72), "")</f>
        <v/>
      </c>
      <c r="N72" s="58" t="str">
        <f>MATHS!L74</f>
        <v/>
      </c>
      <c r="O72" s="59" t="str" cm="1">
        <f t="array" ref="O72">IF(L72&lt;&gt;"", ToRemark(L72), "")</f>
        <v/>
      </c>
      <c r="P72" s="60"/>
      <c r="Q72" s="57" t="str">
        <f>IFERROR(ROUND(SCIENCE!H74,0), "")</f>
        <v/>
      </c>
      <c r="R72" s="57" t="str">
        <f>IFERROR(ROUND(SCIENCE!J74,0), "")</f>
        <v/>
      </c>
      <c r="S72" s="56" t="str">
        <f t="shared" si="33"/>
        <v/>
      </c>
      <c r="T72" s="57" t="str" cm="1">
        <f t="array" ref="T72">IF(S72&lt;&gt;"", ToGrade(S72), "")</f>
        <v/>
      </c>
      <c r="U72" s="58" t="str">
        <f>SCIENCE!L74</f>
        <v/>
      </c>
      <c r="V72" s="59" t="str" cm="1">
        <f t="array" ref="V72">IF(S72&lt;&gt;"", ToRemark(S72), "")</f>
        <v/>
      </c>
      <c r="W72" s="60"/>
      <c r="X72" s="57" t="str">
        <f>IFERROR(ROUND(OWOP!H74,0), "")</f>
        <v/>
      </c>
      <c r="Y72" s="57" t="str">
        <f>IFERROR(ROUND(OWOP!J74,0), "")</f>
        <v/>
      </c>
      <c r="Z72" s="56" t="str">
        <f t="shared" si="34"/>
        <v/>
      </c>
      <c r="AA72" s="57" t="str" cm="1">
        <f t="array" ref="AA72">IF(Z72&lt;&gt;"", ToGrade(Z72), "")</f>
        <v/>
      </c>
      <c r="AB72" s="58" t="str">
        <f>OWOP!L74</f>
        <v/>
      </c>
      <c r="AC72" s="59" t="str" cm="1">
        <f t="array" ref="AC72">IF(Z72&lt;&gt;"", ToRemark(Z72), "")</f>
        <v/>
      </c>
      <c r="AD72" s="60"/>
      <c r="AE72" s="57" t="str">
        <f>IFERROR(ROUND('C ARTS'!H74,0), "")</f>
        <v/>
      </c>
      <c r="AF72" s="57" t="str">
        <f>IFERROR(ROUND('C ARTS'!J74,0), "")</f>
        <v/>
      </c>
      <c r="AG72" s="56" t="str">
        <f t="shared" si="35"/>
        <v/>
      </c>
      <c r="AH72" s="57" t="str" cm="1">
        <f t="array" ref="AH72">IF(AG72&lt;&gt;"", ToGrade(AG72), "")</f>
        <v/>
      </c>
      <c r="AI72" s="58" t="str">
        <f>'C ARTS'!L74</f>
        <v/>
      </c>
      <c r="AJ72" s="59" t="str" cm="1">
        <f t="array" ref="AJ72">IF(AG72&lt;&gt;"", ToRemark(AG72), "")</f>
        <v/>
      </c>
      <c r="AK72" s="60"/>
      <c r="AL72" s="57" t="str">
        <f>IFERROR(ROUND('GH LANG'!H74,0), "")</f>
        <v/>
      </c>
      <c r="AM72" s="57" t="str">
        <f>IFERROR(ROUND('GH LANG'!J74,0), "")</f>
        <v/>
      </c>
      <c r="AN72" s="61" t="str">
        <f t="shared" si="36"/>
        <v/>
      </c>
      <c r="AO72" s="57" t="str" cm="1">
        <f t="array" ref="AO72">IF(AN72&lt;&gt;"", ToGrade(AN72), "")</f>
        <v/>
      </c>
      <c r="AP72" s="58" t="str">
        <f>'GH LANG'!L74</f>
        <v/>
      </c>
      <c r="AQ72" s="59" t="str" cm="1">
        <f t="array" ref="AQ72">IF(AN72&lt;&gt;"", ToRemark(AN72), "")</f>
        <v/>
      </c>
      <c r="AR72" s="60"/>
      <c r="AS72" s="57" t="str">
        <f>IFERROR(ROUND(COMPUTING!H74,0), "")</f>
        <v/>
      </c>
      <c r="AT72" s="57" t="str">
        <f>IFERROR(ROUND(COMPUTING!J74,0), "")</f>
        <v/>
      </c>
      <c r="AU72" s="56" t="str">
        <f t="shared" si="37"/>
        <v/>
      </c>
      <c r="AV72" s="57" t="str" cm="1">
        <f t="array" ref="AV72">IF(AU72&lt;&gt;"", ToGrade(AU72), "")</f>
        <v/>
      </c>
      <c r="AW72" s="58" t="str">
        <f>COMPUTING!L74</f>
        <v/>
      </c>
      <c r="AX72" s="59" t="str" cm="1">
        <f t="array" ref="AX72">IF(AU72&lt;&gt;"", ToRemark(AU72), "")</f>
        <v/>
      </c>
      <c r="AY72" s="62"/>
      <c r="AZ72" s="57" t="str">
        <f>IFERROR(ROUND(HISTERY!H74,0), "")</f>
        <v/>
      </c>
      <c r="BA72" s="57" t="str">
        <f>IFERROR(ROUND(HISTERY!J74,0), "")</f>
        <v/>
      </c>
      <c r="BB72" s="56" t="str">
        <f t="shared" si="38"/>
        <v/>
      </c>
      <c r="BC72" s="57" t="str" cm="1">
        <f t="array" ref="BC72">IF(BB72&lt;&gt;"", ToGrade(BB72), "")</f>
        <v/>
      </c>
      <c r="BD72" s="58" t="str">
        <f>HISTERY!L74</f>
        <v/>
      </c>
      <c r="BE72" s="59" t="str" cm="1">
        <f t="array" ref="BE72">IF(BB72&lt;&gt;"", ToRemark(BB72), "")</f>
        <v/>
      </c>
      <c r="BF72" s="60"/>
      <c r="BG72" s="57" t="str">
        <f>IFERROR(ROUND(RME!H74,0), "")</f>
        <v/>
      </c>
      <c r="BH72" s="57" t="str">
        <f>IFERROR(ROUND(RME!J74,0), "")</f>
        <v/>
      </c>
      <c r="BI72" s="56" t="str">
        <f t="shared" si="39"/>
        <v/>
      </c>
      <c r="BJ72" s="57" t="str" cm="1">
        <f t="array" ref="BJ72">IF(BI72&lt;&gt;"", ToGrade(BI72), "")</f>
        <v/>
      </c>
      <c r="BK72" s="58" t="str">
        <f>RME!L74</f>
        <v/>
      </c>
      <c r="BL72" s="59" t="str" cm="1">
        <f t="array" ref="BL72">IF(BI72&lt;&gt;"", ToRemark(BI72), "")</f>
        <v/>
      </c>
      <c r="BM72" s="74"/>
      <c r="BN72" s="97" t="str">
        <f t="shared" si="40"/>
        <v/>
      </c>
      <c r="BO72" s="106" t="str">
        <f t="shared" si="41"/>
        <v/>
      </c>
      <c r="BP72" s="98" t="str" cm="1">
        <f t="array" ref="BP72">IFERROR(OrdinalNumber(_xlfn.RANK.EQ(BN72,$BN$3:$BN$101)), "")</f>
        <v/>
      </c>
      <c r="BQ72" s="104"/>
      <c r="BR72" s="99"/>
      <c r="BS72" s="111"/>
      <c r="BT72" s="83" t="str" cm="1">
        <f t="array" ref="BT72">IF(LEN(B72)&lt;&gt;0, GetTeacherRemark(BO72), "")</f>
        <v/>
      </c>
      <c r="BU72" s="86" t="str">
        <f t="shared" si="25"/>
        <v/>
      </c>
      <c r="BV72" s="86" t="str">
        <f t="shared" si="26"/>
        <v/>
      </c>
      <c r="BW72" s="86" t="str">
        <f t="shared" si="27"/>
        <v/>
      </c>
      <c r="BX72" s="86" t="str">
        <f t="shared" si="42"/>
        <v/>
      </c>
      <c r="BY72" s="115" t="str">
        <f t="shared" si="28"/>
        <v/>
      </c>
      <c r="BZ72" s="87" t="str">
        <f t="shared" si="29"/>
        <v/>
      </c>
      <c r="CA72" s="86" t="str">
        <f t="shared" si="30"/>
        <v/>
      </c>
      <c r="CB72" s="85"/>
    </row>
    <row r="73" spans="1:80" x14ac:dyDescent="0.25">
      <c r="A73" s="53" t="str">
        <v>71</v>
      </c>
      <c r="B73" s="54" t="str">
        <v/>
      </c>
      <c r="C73" s="55" t="str">
        <f>IFERROR(ROUND(ENGLISH!H75,0), "")</f>
        <v/>
      </c>
      <c r="D73" s="55" t="str">
        <f>IFERROR(ROUND(ENGLISH!J75,0), "")</f>
        <v/>
      </c>
      <c r="E73" s="56" t="str">
        <f t="shared" si="31"/>
        <v/>
      </c>
      <c r="F73" s="57" t="str" cm="1">
        <f t="array" ref="F73">IF(E73&lt;&gt;"", ToGrade(E73), "")</f>
        <v/>
      </c>
      <c r="G73" s="58" t="str">
        <f>ENGLISH!L75</f>
        <v/>
      </c>
      <c r="H73" s="59" t="str" cm="1">
        <f t="array" ref="H73">IF(E73&lt;&gt;"", ToRemark(E73), "")</f>
        <v/>
      </c>
      <c r="I73" s="60"/>
      <c r="J73" s="55" t="str">
        <f>IFERROR(ROUND(MATHS!H75,0), "")</f>
        <v/>
      </c>
      <c r="K73" s="55" t="str">
        <f>IFERROR(ROUND(MATHS!J75,0), "")</f>
        <v/>
      </c>
      <c r="L73" s="56" t="str">
        <f t="shared" si="32"/>
        <v/>
      </c>
      <c r="M73" s="57" t="str" cm="1">
        <f t="array" ref="M73">IF(L73&lt;&gt;"", ToGrade(L73), "")</f>
        <v/>
      </c>
      <c r="N73" s="58" t="str">
        <f>MATHS!L75</f>
        <v/>
      </c>
      <c r="O73" s="59" t="str" cm="1">
        <f t="array" ref="O73">IF(L73&lt;&gt;"", ToRemark(L73), "")</f>
        <v/>
      </c>
      <c r="P73" s="60"/>
      <c r="Q73" s="57" t="str">
        <f>IFERROR(ROUND(SCIENCE!H75,0), "")</f>
        <v/>
      </c>
      <c r="R73" s="57" t="str">
        <f>IFERROR(ROUND(SCIENCE!J75,0), "")</f>
        <v/>
      </c>
      <c r="S73" s="56" t="str">
        <f t="shared" si="33"/>
        <v/>
      </c>
      <c r="T73" s="57" t="str" cm="1">
        <f t="array" ref="T73">IF(S73&lt;&gt;"", ToGrade(S73), "")</f>
        <v/>
      </c>
      <c r="U73" s="58" t="str">
        <f>SCIENCE!L75</f>
        <v/>
      </c>
      <c r="V73" s="59" t="str" cm="1">
        <f t="array" ref="V73">IF(S73&lt;&gt;"", ToRemark(S73), "")</f>
        <v/>
      </c>
      <c r="W73" s="60"/>
      <c r="X73" s="57" t="str">
        <f>IFERROR(ROUND(OWOP!H75,0), "")</f>
        <v/>
      </c>
      <c r="Y73" s="57" t="str">
        <f>IFERROR(ROUND(OWOP!J75,0), "")</f>
        <v/>
      </c>
      <c r="Z73" s="56" t="str">
        <f t="shared" si="34"/>
        <v/>
      </c>
      <c r="AA73" s="57" t="str" cm="1">
        <f t="array" ref="AA73">IF(Z73&lt;&gt;"", ToGrade(Z73), "")</f>
        <v/>
      </c>
      <c r="AB73" s="58" t="str">
        <f>OWOP!L75</f>
        <v/>
      </c>
      <c r="AC73" s="59" t="str" cm="1">
        <f t="array" ref="AC73">IF(Z73&lt;&gt;"", ToRemark(Z73), "")</f>
        <v/>
      </c>
      <c r="AD73" s="60"/>
      <c r="AE73" s="57" t="str">
        <f>IFERROR(ROUND('C ARTS'!H75,0), "")</f>
        <v/>
      </c>
      <c r="AF73" s="57" t="str">
        <f>IFERROR(ROUND('C ARTS'!J75,0), "")</f>
        <v/>
      </c>
      <c r="AG73" s="56" t="str">
        <f t="shared" si="35"/>
        <v/>
      </c>
      <c r="AH73" s="57" t="str" cm="1">
        <f t="array" ref="AH73">IF(AG73&lt;&gt;"", ToGrade(AG73), "")</f>
        <v/>
      </c>
      <c r="AI73" s="58" t="str">
        <f>'C ARTS'!L75</f>
        <v/>
      </c>
      <c r="AJ73" s="59" t="str" cm="1">
        <f t="array" ref="AJ73">IF(AG73&lt;&gt;"", ToRemark(AG73), "")</f>
        <v/>
      </c>
      <c r="AK73" s="60"/>
      <c r="AL73" s="57" t="str">
        <f>IFERROR(ROUND('GH LANG'!H75,0), "")</f>
        <v/>
      </c>
      <c r="AM73" s="57" t="str">
        <f>IFERROR(ROUND('GH LANG'!J75,0), "")</f>
        <v/>
      </c>
      <c r="AN73" s="61" t="str">
        <f t="shared" si="36"/>
        <v/>
      </c>
      <c r="AO73" s="57" t="str" cm="1">
        <f t="array" ref="AO73">IF(AN73&lt;&gt;"", ToGrade(AN73), "")</f>
        <v/>
      </c>
      <c r="AP73" s="58" t="str">
        <f>'GH LANG'!L75</f>
        <v/>
      </c>
      <c r="AQ73" s="59" t="str" cm="1">
        <f t="array" ref="AQ73">IF(AN73&lt;&gt;"", ToRemark(AN73), "")</f>
        <v/>
      </c>
      <c r="AR73" s="60"/>
      <c r="AS73" s="57" t="str">
        <f>IFERROR(ROUND(COMPUTING!H75,0), "")</f>
        <v/>
      </c>
      <c r="AT73" s="57" t="str">
        <f>IFERROR(ROUND(COMPUTING!J75,0), "")</f>
        <v/>
      </c>
      <c r="AU73" s="56" t="str">
        <f t="shared" si="37"/>
        <v/>
      </c>
      <c r="AV73" s="57" t="str" cm="1">
        <f t="array" ref="AV73">IF(AU73&lt;&gt;"", ToGrade(AU73), "")</f>
        <v/>
      </c>
      <c r="AW73" s="58" t="str">
        <f>COMPUTING!L75</f>
        <v/>
      </c>
      <c r="AX73" s="59" t="str" cm="1">
        <f t="array" ref="AX73">IF(AU73&lt;&gt;"", ToRemark(AU73), "")</f>
        <v/>
      </c>
      <c r="AY73" s="62"/>
      <c r="AZ73" s="57" t="str">
        <f>IFERROR(ROUND(HISTERY!H75,0), "")</f>
        <v/>
      </c>
      <c r="BA73" s="57" t="str">
        <f>IFERROR(ROUND(HISTERY!J75,0), "")</f>
        <v/>
      </c>
      <c r="BB73" s="56" t="str">
        <f t="shared" si="38"/>
        <v/>
      </c>
      <c r="BC73" s="57" t="str" cm="1">
        <f t="array" ref="BC73">IF(BB73&lt;&gt;"", ToGrade(BB73), "")</f>
        <v/>
      </c>
      <c r="BD73" s="58" t="str">
        <f>HISTERY!L75</f>
        <v/>
      </c>
      <c r="BE73" s="59" t="str" cm="1">
        <f t="array" ref="BE73">IF(BB73&lt;&gt;"", ToRemark(BB73), "")</f>
        <v/>
      </c>
      <c r="BF73" s="60"/>
      <c r="BG73" s="57" t="str">
        <f>IFERROR(ROUND(RME!H75,0), "")</f>
        <v/>
      </c>
      <c r="BH73" s="57" t="str">
        <f>IFERROR(ROUND(RME!J75,0), "")</f>
        <v/>
      </c>
      <c r="BI73" s="56" t="str">
        <f t="shared" si="39"/>
        <v/>
      </c>
      <c r="BJ73" s="57" t="str" cm="1">
        <f t="array" ref="BJ73">IF(BI73&lt;&gt;"", ToGrade(BI73), "")</f>
        <v/>
      </c>
      <c r="BK73" s="58" t="str">
        <f>RME!L75</f>
        <v/>
      </c>
      <c r="BL73" s="59" t="str" cm="1">
        <f t="array" ref="BL73">IF(BI73&lt;&gt;"", ToRemark(BI73), "")</f>
        <v/>
      </c>
      <c r="BM73" s="74"/>
      <c r="BN73" s="97" t="str">
        <f t="shared" si="40"/>
        <v/>
      </c>
      <c r="BO73" s="106" t="str">
        <f t="shared" si="41"/>
        <v/>
      </c>
      <c r="BP73" s="98" t="str" cm="1">
        <f t="array" ref="BP73">IFERROR(OrdinalNumber(_xlfn.RANK.EQ(BN73,$BN$3:$BN$101)), "")</f>
        <v/>
      </c>
      <c r="BQ73" s="104"/>
      <c r="BR73" s="99"/>
      <c r="BS73" s="111"/>
      <c r="BT73" s="83" t="str" cm="1">
        <f t="array" ref="BT73">IF(LEN(B73)&lt;&gt;0, GetTeacherRemark(BO73), "")</f>
        <v/>
      </c>
      <c r="BU73" s="86" t="str">
        <f t="shared" si="25"/>
        <v/>
      </c>
      <c r="BV73" s="86" t="str">
        <f t="shared" si="26"/>
        <v/>
      </c>
      <c r="BW73" s="86" t="str">
        <f t="shared" si="27"/>
        <v/>
      </c>
      <c r="BX73" s="86" t="str">
        <f t="shared" si="42"/>
        <v/>
      </c>
      <c r="BY73" s="115" t="str">
        <f t="shared" si="28"/>
        <v/>
      </c>
      <c r="BZ73" s="87" t="str">
        <f t="shared" si="29"/>
        <v/>
      </c>
      <c r="CA73" s="86" t="str">
        <f t="shared" si="30"/>
        <v/>
      </c>
      <c r="CB73" s="85"/>
    </row>
    <row r="74" spans="1:80" x14ac:dyDescent="0.25">
      <c r="A74" s="53" t="str">
        <v>72</v>
      </c>
      <c r="B74" s="54" t="str">
        <v/>
      </c>
      <c r="C74" s="55" t="str">
        <f>IFERROR(ROUND(ENGLISH!H76,0), "")</f>
        <v/>
      </c>
      <c r="D74" s="55" t="str">
        <f>IFERROR(ROUND(ENGLISH!J76,0), "")</f>
        <v/>
      </c>
      <c r="E74" s="56" t="str">
        <f t="shared" si="31"/>
        <v/>
      </c>
      <c r="F74" s="57" t="str" cm="1">
        <f t="array" ref="F74">IF(E74&lt;&gt;"", ToGrade(E74), "")</f>
        <v/>
      </c>
      <c r="G74" s="58" t="str">
        <f>ENGLISH!L76</f>
        <v/>
      </c>
      <c r="H74" s="59" t="str" cm="1">
        <f t="array" ref="H74">IF(E74&lt;&gt;"", ToRemark(E74), "")</f>
        <v/>
      </c>
      <c r="I74" s="60"/>
      <c r="J74" s="55" t="str">
        <f>IFERROR(ROUND(MATHS!H76,0), "")</f>
        <v/>
      </c>
      <c r="K74" s="55" t="str">
        <f>IFERROR(ROUND(MATHS!J76,0), "")</f>
        <v/>
      </c>
      <c r="L74" s="56" t="str">
        <f t="shared" si="32"/>
        <v/>
      </c>
      <c r="M74" s="57" t="str" cm="1">
        <f t="array" ref="M74">IF(L74&lt;&gt;"", ToGrade(L74), "")</f>
        <v/>
      </c>
      <c r="N74" s="58" t="str">
        <f>MATHS!L76</f>
        <v/>
      </c>
      <c r="O74" s="59" t="str" cm="1">
        <f t="array" ref="O74">IF(L74&lt;&gt;"", ToRemark(L74), "")</f>
        <v/>
      </c>
      <c r="P74" s="60"/>
      <c r="Q74" s="57" t="str">
        <f>IFERROR(ROUND(SCIENCE!H76,0), "")</f>
        <v/>
      </c>
      <c r="R74" s="57" t="str">
        <f>IFERROR(ROUND(SCIENCE!J76,0), "")</f>
        <v/>
      </c>
      <c r="S74" s="56" t="str">
        <f t="shared" si="33"/>
        <v/>
      </c>
      <c r="T74" s="57" t="str" cm="1">
        <f t="array" ref="T74">IF(S74&lt;&gt;"", ToGrade(S74), "")</f>
        <v/>
      </c>
      <c r="U74" s="58" t="str">
        <f>SCIENCE!L76</f>
        <v/>
      </c>
      <c r="V74" s="59" t="str" cm="1">
        <f t="array" ref="V74">IF(S74&lt;&gt;"", ToRemark(S74), "")</f>
        <v/>
      </c>
      <c r="W74" s="60"/>
      <c r="X74" s="57" t="str">
        <f>IFERROR(ROUND(OWOP!H76,0), "")</f>
        <v/>
      </c>
      <c r="Y74" s="57" t="str">
        <f>IFERROR(ROUND(OWOP!J76,0), "")</f>
        <v/>
      </c>
      <c r="Z74" s="56" t="str">
        <f t="shared" si="34"/>
        <v/>
      </c>
      <c r="AA74" s="57" t="str" cm="1">
        <f t="array" ref="AA74">IF(Z74&lt;&gt;"", ToGrade(Z74), "")</f>
        <v/>
      </c>
      <c r="AB74" s="58" t="str">
        <f>OWOP!L76</f>
        <v/>
      </c>
      <c r="AC74" s="59" t="str" cm="1">
        <f t="array" ref="AC74">IF(Z74&lt;&gt;"", ToRemark(Z74), "")</f>
        <v/>
      </c>
      <c r="AD74" s="60"/>
      <c r="AE74" s="57" t="str">
        <f>IFERROR(ROUND('C ARTS'!H76,0), "")</f>
        <v/>
      </c>
      <c r="AF74" s="57" t="str">
        <f>IFERROR(ROUND('C ARTS'!J76,0), "")</f>
        <v/>
      </c>
      <c r="AG74" s="56" t="str">
        <f t="shared" si="35"/>
        <v/>
      </c>
      <c r="AH74" s="57" t="str" cm="1">
        <f t="array" ref="AH74">IF(AG74&lt;&gt;"", ToGrade(AG74), "")</f>
        <v/>
      </c>
      <c r="AI74" s="58" t="str">
        <f>'C ARTS'!L76</f>
        <v/>
      </c>
      <c r="AJ74" s="59" t="str" cm="1">
        <f t="array" ref="AJ74">IF(AG74&lt;&gt;"", ToRemark(AG74), "")</f>
        <v/>
      </c>
      <c r="AK74" s="60"/>
      <c r="AL74" s="57" t="str">
        <f>IFERROR(ROUND('GH LANG'!H76,0), "")</f>
        <v/>
      </c>
      <c r="AM74" s="57" t="str">
        <f>IFERROR(ROUND('GH LANG'!J76,0), "")</f>
        <v/>
      </c>
      <c r="AN74" s="61" t="str">
        <f t="shared" si="36"/>
        <v/>
      </c>
      <c r="AO74" s="57" t="str" cm="1">
        <f t="array" ref="AO74">IF(AN74&lt;&gt;"", ToGrade(AN74), "")</f>
        <v/>
      </c>
      <c r="AP74" s="58" t="str">
        <f>'GH LANG'!L76</f>
        <v/>
      </c>
      <c r="AQ74" s="59" t="str" cm="1">
        <f t="array" ref="AQ74">IF(AN74&lt;&gt;"", ToRemark(AN74), "")</f>
        <v/>
      </c>
      <c r="AR74" s="60"/>
      <c r="AS74" s="57" t="str">
        <f>IFERROR(ROUND(COMPUTING!H76,0), "")</f>
        <v/>
      </c>
      <c r="AT74" s="57" t="str">
        <f>IFERROR(ROUND(COMPUTING!J76,0), "")</f>
        <v/>
      </c>
      <c r="AU74" s="56" t="str">
        <f t="shared" si="37"/>
        <v/>
      </c>
      <c r="AV74" s="57" t="str" cm="1">
        <f t="array" ref="AV74">IF(AU74&lt;&gt;"", ToGrade(AU74), "")</f>
        <v/>
      </c>
      <c r="AW74" s="58" t="str">
        <f>COMPUTING!L76</f>
        <v/>
      </c>
      <c r="AX74" s="59" t="str" cm="1">
        <f t="array" ref="AX74">IF(AU74&lt;&gt;"", ToRemark(AU74), "")</f>
        <v/>
      </c>
      <c r="AY74" s="62"/>
      <c r="AZ74" s="57" t="str">
        <f>IFERROR(ROUND(HISTERY!H76,0), "")</f>
        <v/>
      </c>
      <c r="BA74" s="57" t="str">
        <f>IFERROR(ROUND(HISTERY!J76,0), "")</f>
        <v/>
      </c>
      <c r="BB74" s="56" t="str">
        <f t="shared" si="38"/>
        <v/>
      </c>
      <c r="BC74" s="57" t="str" cm="1">
        <f t="array" ref="BC74">IF(BB74&lt;&gt;"", ToGrade(BB74), "")</f>
        <v/>
      </c>
      <c r="BD74" s="58" t="str">
        <f>HISTERY!L76</f>
        <v/>
      </c>
      <c r="BE74" s="59" t="str" cm="1">
        <f t="array" ref="BE74">IF(BB74&lt;&gt;"", ToRemark(BB74), "")</f>
        <v/>
      </c>
      <c r="BF74" s="60"/>
      <c r="BG74" s="57" t="str">
        <f>IFERROR(ROUND(RME!H76,0), "")</f>
        <v/>
      </c>
      <c r="BH74" s="57" t="str">
        <f>IFERROR(ROUND(RME!J76,0), "")</f>
        <v/>
      </c>
      <c r="BI74" s="56" t="str">
        <f t="shared" si="39"/>
        <v/>
      </c>
      <c r="BJ74" s="57" t="str" cm="1">
        <f t="array" ref="BJ74">IF(BI74&lt;&gt;"", ToGrade(BI74), "")</f>
        <v/>
      </c>
      <c r="BK74" s="58" t="str">
        <f>RME!L76</f>
        <v/>
      </c>
      <c r="BL74" s="59" t="str" cm="1">
        <f t="array" ref="BL74">IF(BI74&lt;&gt;"", ToRemark(BI74), "")</f>
        <v/>
      </c>
      <c r="BM74" s="74"/>
      <c r="BN74" s="97" t="str">
        <f t="shared" si="40"/>
        <v/>
      </c>
      <c r="BO74" s="106" t="str">
        <f t="shared" si="41"/>
        <v/>
      </c>
      <c r="BP74" s="98" t="str" cm="1">
        <f t="array" ref="BP74">IFERROR(OrdinalNumber(_xlfn.RANK.EQ(BN74,$BN$3:$BN$101)), "")</f>
        <v/>
      </c>
      <c r="BQ74" s="104"/>
      <c r="BR74" s="99"/>
      <c r="BS74" s="111"/>
      <c r="BT74" s="83" t="str" cm="1">
        <f t="array" ref="BT74">IF(LEN(B74)&lt;&gt;0, GetTeacherRemark(BO74), "")</f>
        <v/>
      </c>
      <c r="BU74" s="86" t="str">
        <f t="shared" si="25"/>
        <v/>
      </c>
      <c r="BV74" s="86" t="str">
        <f t="shared" si="26"/>
        <v/>
      </c>
      <c r="BW74" s="86" t="str">
        <f t="shared" si="27"/>
        <v/>
      </c>
      <c r="BX74" s="86" t="str">
        <f t="shared" si="42"/>
        <v/>
      </c>
      <c r="BY74" s="115" t="str">
        <f t="shared" si="28"/>
        <v/>
      </c>
      <c r="BZ74" s="87" t="str">
        <f t="shared" si="29"/>
        <v/>
      </c>
      <c r="CA74" s="86" t="str">
        <f t="shared" si="30"/>
        <v/>
      </c>
      <c r="CB74" s="85"/>
    </row>
    <row r="75" spans="1:80" x14ac:dyDescent="0.25">
      <c r="A75" s="53" t="str">
        <v>73</v>
      </c>
      <c r="B75" s="54" t="str">
        <v/>
      </c>
      <c r="C75" s="55" t="str">
        <f>IFERROR(ROUND(ENGLISH!H77,0), "")</f>
        <v/>
      </c>
      <c r="D75" s="55" t="str">
        <f>IFERROR(ROUND(ENGLISH!J77,0), "")</f>
        <v/>
      </c>
      <c r="E75" s="56" t="str">
        <f t="shared" si="31"/>
        <v/>
      </c>
      <c r="F75" s="57" t="str" cm="1">
        <f t="array" ref="F75">IF(E75&lt;&gt;"", ToGrade(E75), "")</f>
        <v/>
      </c>
      <c r="G75" s="58" t="str">
        <f>ENGLISH!L77</f>
        <v/>
      </c>
      <c r="H75" s="59" t="str" cm="1">
        <f t="array" ref="H75">IF(E75&lt;&gt;"", ToRemark(E75), "")</f>
        <v/>
      </c>
      <c r="I75" s="60"/>
      <c r="J75" s="55" t="str">
        <f>IFERROR(ROUND(MATHS!H77,0), "")</f>
        <v/>
      </c>
      <c r="K75" s="55" t="str">
        <f>IFERROR(ROUND(MATHS!J77,0), "")</f>
        <v/>
      </c>
      <c r="L75" s="56" t="str">
        <f t="shared" si="32"/>
        <v/>
      </c>
      <c r="M75" s="57" t="str" cm="1">
        <f t="array" ref="M75">IF(L75&lt;&gt;"", ToGrade(L75), "")</f>
        <v/>
      </c>
      <c r="N75" s="58" t="str">
        <f>MATHS!L77</f>
        <v/>
      </c>
      <c r="O75" s="59" t="str" cm="1">
        <f t="array" ref="O75">IF(L75&lt;&gt;"", ToRemark(L75), "")</f>
        <v/>
      </c>
      <c r="P75" s="60"/>
      <c r="Q75" s="57" t="str">
        <f>IFERROR(ROUND(SCIENCE!H77,0), "")</f>
        <v/>
      </c>
      <c r="R75" s="57" t="str">
        <f>IFERROR(ROUND(SCIENCE!J77,0), "")</f>
        <v/>
      </c>
      <c r="S75" s="56" t="str">
        <f t="shared" si="33"/>
        <v/>
      </c>
      <c r="T75" s="57" t="str" cm="1">
        <f t="array" ref="T75">IF(S75&lt;&gt;"", ToGrade(S75), "")</f>
        <v/>
      </c>
      <c r="U75" s="58" t="str">
        <f>SCIENCE!L77</f>
        <v/>
      </c>
      <c r="V75" s="59" t="str" cm="1">
        <f t="array" ref="V75">IF(S75&lt;&gt;"", ToRemark(S75), "")</f>
        <v/>
      </c>
      <c r="W75" s="60"/>
      <c r="X75" s="57" t="str">
        <f>IFERROR(ROUND(OWOP!H77,0), "")</f>
        <v/>
      </c>
      <c r="Y75" s="57" t="str">
        <f>IFERROR(ROUND(OWOP!J77,0), "")</f>
        <v/>
      </c>
      <c r="Z75" s="56" t="str">
        <f t="shared" si="34"/>
        <v/>
      </c>
      <c r="AA75" s="57" t="str" cm="1">
        <f t="array" ref="AA75">IF(Z75&lt;&gt;"", ToGrade(Z75), "")</f>
        <v/>
      </c>
      <c r="AB75" s="58" t="str">
        <f>OWOP!L77</f>
        <v/>
      </c>
      <c r="AC75" s="59" t="str" cm="1">
        <f t="array" ref="AC75">IF(Z75&lt;&gt;"", ToRemark(Z75), "")</f>
        <v/>
      </c>
      <c r="AD75" s="60"/>
      <c r="AE75" s="57" t="str">
        <f>IFERROR(ROUND('C ARTS'!H77,0), "")</f>
        <v/>
      </c>
      <c r="AF75" s="57" t="str">
        <f>IFERROR(ROUND('C ARTS'!J77,0), "")</f>
        <v/>
      </c>
      <c r="AG75" s="56" t="str">
        <f t="shared" si="35"/>
        <v/>
      </c>
      <c r="AH75" s="57" t="str" cm="1">
        <f t="array" ref="AH75">IF(AG75&lt;&gt;"", ToGrade(AG75), "")</f>
        <v/>
      </c>
      <c r="AI75" s="58" t="str">
        <f>'C ARTS'!L77</f>
        <v/>
      </c>
      <c r="AJ75" s="59" t="str" cm="1">
        <f t="array" ref="AJ75">IF(AG75&lt;&gt;"", ToRemark(AG75), "")</f>
        <v/>
      </c>
      <c r="AK75" s="60"/>
      <c r="AL75" s="57" t="str">
        <f>IFERROR(ROUND('GH LANG'!H77,0), "")</f>
        <v/>
      </c>
      <c r="AM75" s="57" t="str">
        <f>IFERROR(ROUND('GH LANG'!J77,0), "")</f>
        <v/>
      </c>
      <c r="AN75" s="61" t="str">
        <f t="shared" si="36"/>
        <v/>
      </c>
      <c r="AO75" s="57" t="str" cm="1">
        <f t="array" ref="AO75">IF(AN75&lt;&gt;"", ToGrade(AN75), "")</f>
        <v/>
      </c>
      <c r="AP75" s="58" t="str">
        <f>'GH LANG'!L77</f>
        <v/>
      </c>
      <c r="AQ75" s="59" t="str" cm="1">
        <f t="array" ref="AQ75">IF(AN75&lt;&gt;"", ToRemark(AN75), "")</f>
        <v/>
      </c>
      <c r="AR75" s="60"/>
      <c r="AS75" s="57" t="str">
        <f>IFERROR(ROUND(COMPUTING!H77,0), "")</f>
        <v/>
      </c>
      <c r="AT75" s="57" t="str">
        <f>IFERROR(ROUND(COMPUTING!J77,0), "")</f>
        <v/>
      </c>
      <c r="AU75" s="56" t="str">
        <f t="shared" si="37"/>
        <v/>
      </c>
      <c r="AV75" s="57" t="str" cm="1">
        <f t="array" ref="AV75">IF(AU75&lt;&gt;"", ToGrade(AU75), "")</f>
        <v/>
      </c>
      <c r="AW75" s="58" t="str">
        <f>COMPUTING!L77</f>
        <v/>
      </c>
      <c r="AX75" s="59" t="str" cm="1">
        <f t="array" ref="AX75">IF(AU75&lt;&gt;"", ToRemark(AU75), "")</f>
        <v/>
      </c>
      <c r="AY75" s="62"/>
      <c r="AZ75" s="57" t="str">
        <f>IFERROR(ROUND(HISTERY!H77,0), "")</f>
        <v/>
      </c>
      <c r="BA75" s="57" t="str">
        <f>IFERROR(ROUND(HISTERY!J77,0), "")</f>
        <v/>
      </c>
      <c r="BB75" s="56" t="str">
        <f t="shared" si="38"/>
        <v/>
      </c>
      <c r="BC75" s="57" t="str" cm="1">
        <f t="array" ref="BC75">IF(BB75&lt;&gt;"", ToGrade(BB75), "")</f>
        <v/>
      </c>
      <c r="BD75" s="58" t="str">
        <f>HISTERY!L77</f>
        <v/>
      </c>
      <c r="BE75" s="59" t="str" cm="1">
        <f t="array" ref="BE75">IF(BB75&lt;&gt;"", ToRemark(BB75), "")</f>
        <v/>
      </c>
      <c r="BF75" s="60"/>
      <c r="BG75" s="57" t="str">
        <f>IFERROR(ROUND(RME!H77,0), "")</f>
        <v/>
      </c>
      <c r="BH75" s="57" t="str">
        <f>IFERROR(ROUND(RME!J77,0), "")</f>
        <v/>
      </c>
      <c r="BI75" s="56" t="str">
        <f t="shared" si="39"/>
        <v/>
      </c>
      <c r="BJ75" s="57" t="str" cm="1">
        <f t="array" ref="BJ75">IF(BI75&lt;&gt;"", ToGrade(BI75), "")</f>
        <v/>
      </c>
      <c r="BK75" s="58" t="str">
        <f>RME!L77</f>
        <v/>
      </c>
      <c r="BL75" s="59" t="str" cm="1">
        <f t="array" ref="BL75">IF(BI75&lt;&gt;"", ToRemark(BI75), "")</f>
        <v/>
      </c>
      <c r="BM75" s="74"/>
      <c r="BN75" s="97" t="str">
        <f t="shared" si="40"/>
        <v/>
      </c>
      <c r="BO75" s="106" t="str">
        <f t="shared" si="41"/>
        <v/>
      </c>
      <c r="BP75" s="98" t="str" cm="1">
        <f t="array" ref="BP75">IFERROR(OrdinalNumber(_xlfn.RANK.EQ(BN75,$BN$3:$BN$101)), "")</f>
        <v/>
      </c>
      <c r="BQ75" s="104"/>
      <c r="BR75" s="99"/>
      <c r="BS75" s="111"/>
      <c r="BT75" s="83" t="str" cm="1">
        <f t="array" ref="BT75">IF(LEN(B75)&lt;&gt;0, GetTeacherRemark(BO75), "")</f>
        <v/>
      </c>
      <c r="BU75" s="86" t="str">
        <f t="shared" si="25"/>
        <v/>
      </c>
      <c r="BV75" s="86" t="str">
        <f t="shared" si="26"/>
        <v/>
      </c>
      <c r="BW75" s="86" t="str">
        <f t="shared" si="27"/>
        <v/>
      </c>
      <c r="BX75" s="86" t="str">
        <f t="shared" si="42"/>
        <v/>
      </c>
      <c r="BY75" s="115" t="str">
        <f t="shared" si="28"/>
        <v/>
      </c>
      <c r="BZ75" s="87" t="str">
        <f t="shared" si="29"/>
        <v/>
      </c>
      <c r="CA75" s="86" t="str">
        <f t="shared" si="30"/>
        <v/>
      </c>
      <c r="CB75" s="85"/>
    </row>
    <row r="76" spans="1:80" x14ac:dyDescent="0.25">
      <c r="A76" s="53" t="str">
        <v>74</v>
      </c>
      <c r="B76" s="54" t="str">
        <v/>
      </c>
      <c r="C76" s="55" t="str">
        <f>IFERROR(ROUND(ENGLISH!H78,0), "")</f>
        <v/>
      </c>
      <c r="D76" s="55" t="str">
        <f>IFERROR(ROUND(ENGLISH!J78,0), "")</f>
        <v/>
      </c>
      <c r="E76" s="56" t="str">
        <f t="shared" si="31"/>
        <v/>
      </c>
      <c r="F76" s="57" t="str" cm="1">
        <f t="array" ref="F76">IF(E76&lt;&gt;"", ToGrade(E76), "")</f>
        <v/>
      </c>
      <c r="G76" s="58" t="str">
        <f>ENGLISH!L78</f>
        <v/>
      </c>
      <c r="H76" s="59" t="str" cm="1">
        <f t="array" ref="H76">IF(E76&lt;&gt;"", ToRemark(E76), "")</f>
        <v/>
      </c>
      <c r="I76" s="60"/>
      <c r="J76" s="55" t="str">
        <f>IFERROR(ROUND(MATHS!H78,0), "")</f>
        <v/>
      </c>
      <c r="K76" s="55" t="str">
        <f>IFERROR(ROUND(MATHS!J78,0), "")</f>
        <v/>
      </c>
      <c r="L76" s="56" t="str">
        <f t="shared" si="32"/>
        <v/>
      </c>
      <c r="M76" s="57" t="str" cm="1">
        <f t="array" ref="M76">IF(L76&lt;&gt;"", ToGrade(L76), "")</f>
        <v/>
      </c>
      <c r="N76" s="58" t="str">
        <f>MATHS!L78</f>
        <v/>
      </c>
      <c r="O76" s="59" t="str" cm="1">
        <f t="array" ref="O76">IF(L76&lt;&gt;"", ToRemark(L76), "")</f>
        <v/>
      </c>
      <c r="P76" s="60"/>
      <c r="Q76" s="57" t="str">
        <f>IFERROR(ROUND(SCIENCE!H78,0), "")</f>
        <v/>
      </c>
      <c r="R76" s="57" t="str">
        <f>IFERROR(ROUND(SCIENCE!J78,0), "")</f>
        <v/>
      </c>
      <c r="S76" s="56" t="str">
        <f t="shared" si="33"/>
        <v/>
      </c>
      <c r="T76" s="57" t="str" cm="1">
        <f t="array" ref="T76">IF(S76&lt;&gt;"", ToGrade(S76), "")</f>
        <v/>
      </c>
      <c r="U76" s="58" t="str">
        <f>SCIENCE!L78</f>
        <v/>
      </c>
      <c r="V76" s="59" t="str" cm="1">
        <f t="array" ref="V76">IF(S76&lt;&gt;"", ToRemark(S76), "")</f>
        <v/>
      </c>
      <c r="W76" s="60"/>
      <c r="X76" s="57" t="str">
        <f>IFERROR(ROUND(OWOP!H78,0), "")</f>
        <v/>
      </c>
      <c r="Y76" s="57" t="str">
        <f>IFERROR(ROUND(OWOP!J78,0), "")</f>
        <v/>
      </c>
      <c r="Z76" s="56" t="str">
        <f t="shared" si="34"/>
        <v/>
      </c>
      <c r="AA76" s="57" t="str" cm="1">
        <f t="array" ref="AA76">IF(Z76&lt;&gt;"", ToGrade(Z76), "")</f>
        <v/>
      </c>
      <c r="AB76" s="58" t="str">
        <f>OWOP!L78</f>
        <v/>
      </c>
      <c r="AC76" s="59" t="str" cm="1">
        <f t="array" ref="AC76">IF(Z76&lt;&gt;"", ToRemark(Z76), "")</f>
        <v/>
      </c>
      <c r="AD76" s="60"/>
      <c r="AE76" s="57" t="str">
        <f>IFERROR(ROUND('C ARTS'!H78,0), "")</f>
        <v/>
      </c>
      <c r="AF76" s="57" t="str">
        <f>IFERROR(ROUND('C ARTS'!J78,0), "")</f>
        <v/>
      </c>
      <c r="AG76" s="56" t="str">
        <f t="shared" si="35"/>
        <v/>
      </c>
      <c r="AH76" s="57" t="str" cm="1">
        <f t="array" ref="AH76">IF(AG76&lt;&gt;"", ToGrade(AG76), "")</f>
        <v/>
      </c>
      <c r="AI76" s="58" t="str">
        <f>'C ARTS'!L78</f>
        <v/>
      </c>
      <c r="AJ76" s="59" t="str" cm="1">
        <f t="array" ref="AJ76">IF(AG76&lt;&gt;"", ToRemark(AG76), "")</f>
        <v/>
      </c>
      <c r="AK76" s="60"/>
      <c r="AL76" s="57" t="str">
        <f>IFERROR(ROUND('GH LANG'!H78,0), "")</f>
        <v/>
      </c>
      <c r="AM76" s="57" t="str">
        <f>IFERROR(ROUND('GH LANG'!J78,0), "")</f>
        <v/>
      </c>
      <c r="AN76" s="61" t="str">
        <f t="shared" si="36"/>
        <v/>
      </c>
      <c r="AO76" s="57" t="str" cm="1">
        <f t="array" ref="AO76">IF(AN76&lt;&gt;"", ToGrade(AN76), "")</f>
        <v/>
      </c>
      <c r="AP76" s="58" t="str">
        <f>'GH LANG'!L78</f>
        <v/>
      </c>
      <c r="AQ76" s="59" t="str" cm="1">
        <f t="array" ref="AQ76">IF(AN76&lt;&gt;"", ToRemark(AN76), "")</f>
        <v/>
      </c>
      <c r="AR76" s="60"/>
      <c r="AS76" s="57" t="str">
        <f>IFERROR(ROUND(COMPUTING!H78,0), "")</f>
        <v/>
      </c>
      <c r="AT76" s="57" t="str">
        <f>IFERROR(ROUND(COMPUTING!J78,0), "")</f>
        <v/>
      </c>
      <c r="AU76" s="56" t="str">
        <f t="shared" si="37"/>
        <v/>
      </c>
      <c r="AV76" s="57" t="str" cm="1">
        <f t="array" ref="AV76">IF(AU76&lt;&gt;"", ToGrade(AU76), "")</f>
        <v/>
      </c>
      <c r="AW76" s="58" t="str">
        <f>COMPUTING!L78</f>
        <v/>
      </c>
      <c r="AX76" s="59" t="str" cm="1">
        <f t="array" ref="AX76">IF(AU76&lt;&gt;"", ToRemark(AU76), "")</f>
        <v/>
      </c>
      <c r="AY76" s="62"/>
      <c r="AZ76" s="57" t="str">
        <f>IFERROR(ROUND(HISTERY!H78,0), "")</f>
        <v/>
      </c>
      <c r="BA76" s="57" t="str">
        <f>IFERROR(ROUND(HISTERY!J78,0), "")</f>
        <v/>
      </c>
      <c r="BB76" s="56" t="str">
        <f t="shared" si="38"/>
        <v/>
      </c>
      <c r="BC76" s="57" t="str" cm="1">
        <f t="array" ref="BC76">IF(BB76&lt;&gt;"", ToGrade(BB76), "")</f>
        <v/>
      </c>
      <c r="BD76" s="58" t="str">
        <f>HISTERY!L78</f>
        <v/>
      </c>
      <c r="BE76" s="59" t="str" cm="1">
        <f t="array" ref="BE76">IF(BB76&lt;&gt;"", ToRemark(BB76), "")</f>
        <v/>
      </c>
      <c r="BF76" s="60"/>
      <c r="BG76" s="57" t="str">
        <f>IFERROR(ROUND(RME!H78,0), "")</f>
        <v/>
      </c>
      <c r="BH76" s="57" t="str">
        <f>IFERROR(ROUND(RME!J78,0), "")</f>
        <v/>
      </c>
      <c r="BI76" s="56" t="str">
        <f t="shared" si="39"/>
        <v/>
      </c>
      <c r="BJ76" s="57" t="str" cm="1">
        <f t="array" ref="BJ76">IF(BI76&lt;&gt;"", ToGrade(BI76), "")</f>
        <v/>
      </c>
      <c r="BK76" s="58" t="str">
        <f>RME!L78</f>
        <v/>
      </c>
      <c r="BL76" s="59" t="str" cm="1">
        <f t="array" ref="BL76">IF(BI76&lt;&gt;"", ToRemark(BI76), "")</f>
        <v/>
      </c>
      <c r="BM76" s="74"/>
      <c r="BN76" s="97" t="str">
        <f t="shared" si="40"/>
        <v/>
      </c>
      <c r="BO76" s="106" t="str">
        <f t="shared" si="41"/>
        <v/>
      </c>
      <c r="BP76" s="98" t="str" cm="1">
        <f t="array" ref="BP76">IFERROR(OrdinalNumber(_xlfn.RANK.EQ(BN76,$BN$3:$BN$101)), "")</f>
        <v/>
      </c>
      <c r="BQ76" s="104"/>
      <c r="BR76" s="99"/>
      <c r="BS76" s="111"/>
      <c r="BT76" s="83" t="str" cm="1">
        <f t="array" ref="BT76">IF(LEN(B76)&lt;&gt;0, GetTeacherRemark(BO76), "")</f>
        <v/>
      </c>
      <c r="BU76" s="86" t="str">
        <f t="shared" si="25"/>
        <v/>
      </c>
      <c r="BV76" s="86" t="str">
        <f t="shared" si="26"/>
        <v/>
      </c>
      <c r="BW76" s="86" t="str">
        <f t="shared" si="27"/>
        <v/>
      </c>
      <c r="BX76" s="86" t="str">
        <f t="shared" si="42"/>
        <v/>
      </c>
      <c r="BY76" s="115" t="str">
        <f t="shared" si="28"/>
        <v/>
      </c>
      <c r="BZ76" s="87" t="str">
        <f t="shared" si="29"/>
        <v/>
      </c>
      <c r="CA76" s="86" t="str">
        <f t="shared" si="30"/>
        <v/>
      </c>
      <c r="CB76" s="85"/>
    </row>
    <row r="77" spans="1:80" x14ac:dyDescent="0.25">
      <c r="A77" s="53" t="str">
        <v>75</v>
      </c>
      <c r="B77" s="54" t="str">
        <v/>
      </c>
      <c r="C77" s="55" t="str">
        <f>IFERROR(ROUND(ENGLISH!H79,0), "")</f>
        <v/>
      </c>
      <c r="D77" s="55" t="str">
        <f>IFERROR(ROUND(ENGLISH!J79,0), "")</f>
        <v/>
      </c>
      <c r="E77" s="56" t="str">
        <f t="shared" si="31"/>
        <v/>
      </c>
      <c r="F77" s="57" t="str" cm="1">
        <f t="array" ref="F77">IF(E77&lt;&gt;"", ToGrade(E77), "")</f>
        <v/>
      </c>
      <c r="G77" s="58" t="str">
        <f>ENGLISH!L79</f>
        <v/>
      </c>
      <c r="H77" s="59" t="str" cm="1">
        <f t="array" ref="H77">IF(E77&lt;&gt;"", ToRemark(E77), "")</f>
        <v/>
      </c>
      <c r="I77" s="60"/>
      <c r="J77" s="55" t="str">
        <f>IFERROR(ROUND(MATHS!H79,0), "")</f>
        <v/>
      </c>
      <c r="K77" s="55" t="str">
        <f>IFERROR(ROUND(MATHS!J79,0), "")</f>
        <v/>
      </c>
      <c r="L77" s="56" t="str">
        <f t="shared" si="32"/>
        <v/>
      </c>
      <c r="M77" s="57" t="str" cm="1">
        <f t="array" ref="M77">IF(L77&lt;&gt;"", ToGrade(L77), "")</f>
        <v/>
      </c>
      <c r="N77" s="58" t="str">
        <f>MATHS!L79</f>
        <v/>
      </c>
      <c r="O77" s="59" t="str" cm="1">
        <f t="array" ref="O77">IF(L77&lt;&gt;"", ToRemark(L77), "")</f>
        <v/>
      </c>
      <c r="P77" s="60"/>
      <c r="Q77" s="57" t="str">
        <f>IFERROR(ROUND(SCIENCE!H79,0), "")</f>
        <v/>
      </c>
      <c r="R77" s="57" t="str">
        <f>IFERROR(ROUND(SCIENCE!J79,0), "")</f>
        <v/>
      </c>
      <c r="S77" s="56" t="str">
        <f t="shared" si="33"/>
        <v/>
      </c>
      <c r="T77" s="57" t="str" cm="1">
        <f t="array" ref="T77">IF(S77&lt;&gt;"", ToGrade(S77), "")</f>
        <v/>
      </c>
      <c r="U77" s="58" t="str">
        <f>SCIENCE!L79</f>
        <v/>
      </c>
      <c r="V77" s="59" t="str" cm="1">
        <f t="array" ref="V77">IF(S77&lt;&gt;"", ToRemark(S77), "")</f>
        <v/>
      </c>
      <c r="W77" s="60"/>
      <c r="X77" s="57" t="str">
        <f>IFERROR(ROUND(OWOP!H79,0), "")</f>
        <v/>
      </c>
      <c r="Y77" s="57" t="str">
        <f>IFERROR(ROUND(OWOP!J79,0), "")</f>
        <v/>
      </c>
      <c r="Z77" s="56" t="str">
        <f t="shared" si="34"/>
        <v/>
      </c>
      <c r="AA77" s="57" t="str" cm="1">
        <f t="array" ref="AA77">IF(Z77&lt;&gt;"", ToGrade(Z77), "")</f>
        <v/>
      </c>
      <c r="AB77" s="58" t="str">
        <f>OWOP!L79</f>
        <v/>
      </c>
      <c r="AC77" s="59" t="str" cm="1">
        <f t="array" ref="AC77">IF(Z77&lt;&gt;"", ToRemark(Z77), "")</f>
        <v/>
      </c>
      <c r="AD77" s="60"/>
      <c r="AE77" s="57" t="str">
        <f>IFERROR(ROUND('C ARTS'!H79,0), "")</f>
        <v/>
      </c>
      <c r="AF77" s="57" t="str">
        <f>IFERROR(ROUND('C ARTS'!J79,0), "")</f>
        <v/>
      </c>
      <c r="AG77" s="56" t="str">
        <f t="shared" si="35"/>
        <v/>
      </c>
      <c r="AH77" s="57" t="str" cm="1">
        <f t="array" ref="AH77">IF(AG77&lt;&gt;"", ToGrade(AG77), "")</f>
        <v/>
      </c>
      <c r="AI77" s="58" t="str">
        <f>'C ARTS'!L79</f>
        <v/>
      </c>
      <c r="AJ77" s="59" t="str" cm="1">
        <f t="array" ref="AJ77">IF(AG77&lt;&gt;"", ToRemark(AG77), "")</f>
        <v/>
      </c>
      <c r="AK77" s="60"/>
      <c r="AL77" s="57" t="str">
        <f>IFERROR(ROUND('GH LANG'!H79,0), "")</f>
        <v/>
      </c>
      <c r="AM77" s="57" t="str">
        <f>IFERROR(ROUND('GH LANG'!J79,0), "")</f>
        <v/>
      </c>
      <c r="AN77" s="61" t="str">
        <f t="shared" si="36"/>
        <v/>
      </c>
      <c r="AO77" s="57" t="str" cm="1">
        <f t="array" ref="AO77">IF(AN77&lt;&gt;"", ToGrade(AN77), "")</f>
        <v/>
      </c>
      <c r="AP77" s="58" t="str">
        <f>'GH LANG'!L79</f>
        <v/>
      </c>
      <c r="AQ77" s="59" t="str" cm="1">
        <f t="array" ref="AQ77">IF(AN77&lt;&gt;"", ToRemark(AN77), "")</f>
        <v/>
      </c>
      <c r="AR77" s="60"/>
      <c r="AS77" s="57" t="str">
        <f>IFERROR(ROUND(COMPUTING!H79,0), "")</f>
        <v/>
      </c>
      <c r="AT77" s="57" t="str">
        <f>IFERROR(ROUND(COMPUTING!J79,0), "")</f>
        <v/>
      </c>
      <c r="AU77" s="56" t="str">
        <f t="shared" si="37"/>
        <v/>
      </c>
      <c r="AV77" s="57" t="str" cm="1">
        <f t="array" ref="AV77">IF(AU77&lt;&gt;"", ToGrade(AU77), "")</f>
        <v/>
      </c>
      <c r="AW77" s="58" t="str">
        <f>COMPUTING!L79</f>
        <v/>
      </c>
      <c r="AX77" s="59" t="str" cm="1">
        <f t="array" ref="AX77">IF(AU77&lt;&gt;"", ToRemark(AU77), "")</f>
        <v/>
      </c>
      <c r="AY77" s="62"/>
      <c r="AZ77" s="57" t="str">
        <f>IFERROR(ROUND(HISTERY!H79,0), "")</f>
        <v/>
      </c>
      <c r="BA77" s="57" t="str">
        <f>IFERROR(ROUND(HISTERY!J79,0), "")</f>
        <v/>
      </c>
      <c r="BB77" s="56" t="str">
        <f t="shared" si="38"/>
        <v/>
      </c>
      <c r="BC77" s="57" t="str" cm="1">
        <f t="array" ref="BC77">IF(BB77&lt;&gt;"", ToGrade(BB77), "")</f>
        <v/>
      </c>
      <c r="BD77" s="58" t="str">
        <f>HISTERY!L79</f>
        <v/>
      </c>
      <c r="BE77" s="59" t="str" cm="1">
        <f t="array" ref="BE77">IF(BB77&lt;&gt;"", ToRemark(BB77), "")</f>
        <v/>
      </c>
      <c r="BF77" s="60"/>
      <c r="BG77" s="57" t="str">
        <f>IFERROR(ROUND(RME!H79,0), "")</f>
        <v/>
      </c>
      <c r="BH77" s="57" t="str">
        <f>IFERROR(ROUND(RME!J79,0), "")</f>
        <v/>
      </c>
      <c r="BI77" s="56" t="str">
        <f t="shared" si="39"/>
        <v/>
      </c>
      <c r="BJ77" s="57" t="str" cm="1">
        <f t="array" ref="BJ77">IF(BI77&lt;&gt;"", ToGrade(BI77), "")</f>
        <v/>
      </c>
      <c r="BK77" s="58" t="str">
        <f>RME!L79</f>
        <v/>
      </c>
      <c r="BL77" s="59" t="str" cm="1">
        <f t="array" ref="BL77">IF(BI77&lt;&gt;"", ToRemark(BI77), "")</f>
        <v/>
      </c>
      <c r="BM77" s="74"/>
      <c r="BN77" s="97" t="str">
        <f t="shared" si="40"/>
        <v/>
      </c>
      <c r="BO77" s="106" t="str">
        <f t="shared" si="41"/>
        <v/>
      </c>
      <c r="BP77" s="98" t="str" cm="1">
        <f t="array" ref="BP77">IFERROR(OrdinalNumber(_xlfn.RANK.EQ(BN77,$BN$3:$BN$101)), "")</f>
        <v/>
      </c>
      <c r="BQ77" s="104"/>
      <c r="BR77" s="99"/>
      <c r="BS77" s="111"/>
      <c r="BT77" s="83" t="str" cm="1">
        <f t="array" ref="BT77">IF(LEN(B77)&lt;&gt;0, GetTeacherRemark(BO77), "")</f>
        <v/>
      </c>
      <c r="BU77" s="86" t="str">
        <f t="shared" si="25"/>
        <v/>
      </c>
      <c r="BV77" s="86" t="str">
        <f t="shared" si="26"/>
        <v/>
      </c>
      <c r="BW77" s="86" t="str">
        <f t="shared" si="27"/>
        <v/>
      </c>
      <c r="BX77" s="86" t="str">
        <f t="shared" si="42"/>
        <v/>
      </c>
      <c r="BY77" s="115" t="str">
        <f t="shared" si="28"/>
        <v/>
      </c>
      <c r="BZ77" s="87" t="str">
        <f t="shared" si="29"/>
        <v/>
      </c>
      <c r="CA77" s="86" t="str">
        <f t="shared" si="30"/>
        <v/>
      </c>
      <c r="CB77" s="85"/>
    </row>
    <row r="78" spans="1:80" x14ac:dyDescent="0.25">
      <c r="A78" s="53" t="str">
        <v>76</v>
      </c>
      <c r="B78" s="54" t="str">
        <v/>
      </c>
      <c r="C78" s="55" t="str">
        <f>IFERROR(ROUND(ENGLISH!H80,0), "")</f>
        <v/>
      </c>
      <c r="D78" s="55" t="str">
        <f>IFERROR(ROUND(ENGLISH!J80,0), "")</f>
        <v/>
      </c>
      <c r="E78" s="56" t="str">
        <f t="shared" si="31"/>
        <v/>
      </c>
      <c r="F78" s="57" t="str" cm="1">
        <f t="array" ref="F78">IF(E78&lt;&gt;"", ToGrade(E78), "")</f>
        <v/>
      </c>
      <c r="G78" s="58" t="str">
        <f>ENGLISH!L80</f>
        <v/>
      </c>
      <c r="H78" s="59" t="str" cm="1">
        <f t="array" ref="H78">IF(E78&lt;&gt;"", ToRemark(E78), "")</f>
        <v/>
      </c>
      <c r="I78" s="60"/>
      <c r="J78" s="55" t="str">
        <f>IFERROR(ROUND(MATHS!H80,0), "")</f>
        <v/>
      </c>
      <c r="K78" s="55" t="str">
        <f>IFERROR(ROUND(MATHS!J80,0), "")</f>
        <v/>
      </c>
      <c r="L78" s="56" t="str">
        <f t="shared" si="32"/>
        <v/>
      </c>
      <c r="M78" s="57" t="str" cm="1">
        <f t="array" ref="M78">IF(L78&lt;&gt;"", ToGrade(L78), "")</f>
        <v/>
      </c>
      <c r="N78" s="58" t="str">
        <f>MATHS!L80</f>
        <v/>
      </c>
      <c r="O78" s="59" t="str" cm="1">
        <f t="array" ref="O78">IF(L78&lt;&gt;"", ToRemark(L78), "")</f>
        <v/>
      </c>
      <c r="P78" s="60"/>
      <c r="Q78" s="57" t="str">
        <f>IFERROR(ROUND(SCIENCE!H80,0), "")</f>
        <v/>
      </c>
      <c r="R78" s="57" t="str">
        <f>IFERROR(ROUND(SCIENCE!J80,0), "")</f>
        <v/>
      </c>
      <c r="S78" s="56" t="str">
        <f t="shared" si="33"/>
        <v/>
      </c>
      <c r="T78" s="57" t="str" cm="1">
        <f t="array" ref="T78">IF(S78&lt;&gt;"", ToGrade(S78), "")</f>
        <v/>
      </c>
      <c r="U78" s="58" t="str">
        <f>SCIENCE!L80</f>
        <v/>
      </c>
      <c r="V78" s="59" t="str" cm="1">
        <f t="array" ref="V78">IF(S78&lt;&gt;"", ToRemark(S78), "")</f>
        <v/>
      </c>
      <c r="W78" s="60"/>
      <c r="X78" s="57" t="str">
        <f>IFERROR(ROUND(OWOP!H80,0), "")</f>
        <v/>
      </c>
      <c r="Y78" s="57" t="str">
        <f>IFERROR(ROUND(OWOP!J80,0), "")</f>
        <v/>
      </c>
      <c r="Z78" s="56" t="str">
        <f t="shared" si="34"/>
        <v/>
      </c>
      <c r="AA78" s="57" t="str" cm="1">
        <f t="array" ref="AA78">IF(Z78&lt;&gt;"", ToGrade(Z78), "")</f>
        <v/>
      </c>
      <c r="AB78" s="58" t="str">
        <f>OWOP!L80</f>
        <v/>
      </c>
      <c r="AC78" s="59" t="str" cm="1">
        <f t="array" ref="AC78">IF(Z78&lt;&gt;"", ToRemark(Z78), "")</f>
        <v/>
      </c>
      <c r="AD78" s="60"/>
      <c r="AE78" s="57" t="str">
        <f>IFERROR(ROUND('C ARTS'!H80,0), "")</f>
        <v/>
      </c>
      <c r="AF78" s="57" t="str">
        <f>IFERROR(ROUND('C ARTS'!J80,0), "")</f>
        <v/>
      </c>
      <c r="AG78" s="56" t="str">
        <f t="shared" si="35"/>
        <v/>
      </c>
      <c r="AH78" s="57" t="str" cm="1">
        <f t="array" ref="AH78">IF(AG78&lt;&gt;"", ToGrade(AG78), "")</f>
        <v/>
      </c>
      <c r="AI78" s="58" t="str">
        <f>'C ARTS'!L80</f>
        <v/>
      </c>
      <c r="AJ78" s="59" t="str" cm="1">
        <f t="array" ref="AJ78">IF(AG78&lt;&gt;"", ToRemark(AG78), "")</f>
        <v/>
      </c>
      <c r="AK78" s="60"/>
      <c r="AL78" s="57" t="str">
        <f>IFERROR(ROUND('GH LANG'!H80,0), "")</f>
        <v/>
      </c>
      <c r="AM78" s="57" t="str">
        <f>IFERROR(ROUND('GH LANG'!J80,0), "")</f>
        <v/>
      </c>
      <c r="AN78" s="61" t="str">
        <f t="shared" si="36"/>
        <v/>
      </c>
      <c r="AO78" s="57" t="str" cm="1">
        <f t="array" ref="AO78">IF(AN78&lt;&gt;"", ToGrade(AN78), "")</f>
        <v/>
      </c>
      <c r="AP78" s="58" t="str">
        <f>'GH LANG'!L80</f>
        <v/>
      </c>
      <c r="AQ78" s="59" t="str" cm="1">
        <f t="array" ref="AQ78">IF(AN78&lt;&gt;"", ToRemark(AN78), "")</f>
        <v/>
      </c>
      <c r="AR78" s="60"/>
      <c r="AS78" s="57" t="str">
        <f>IFERROR(ROUND(COMPUTING!H80,0), "")</f>
        <v/>
      </c>
      <c r="AT78" s="57" t="str">
        <f>IFERROR(ROUND(COMPUTING!J80,0), "")</f>
        <v/>
      </c>
      <c r="AU78" s="56" t="str">
        <f t="shared" si="37"/>
        <v/>
      </c>
      <c r="AV78" s="57" t="str" cm="1">
        <f t="array" ref="AV78">IF(AU78&lt;&gt;"", ToGrade(AU78), "")</f>
        <v/>
      </c>
      <c r="AW78" s="58" t="str">
        <f>COMPUTING!L80</f>
        <v/>
      </c>
      <c r="AX78" s="59" t="str" cm="1">
        <f t="array" ref="AX78">IF(AU78&lt;&gt;"", ToRemark(AU78), "")</f>
        <v/>
      </c>
      <c r="AY78" s="62"/>
      <c r="AZ78" s="57" t="str">
        <f>IFERROR(ROUND(HISTERY!H80,0), "")</f>
        <v/>
      </c>
      <c r="BA78" s="57" t="str">
        <f>IFERROR(ROUND(HISTERY!J80,0), "")</f>
        <v/>
      </c>
      <c r="BB78" s="56" t="str">
        <f t="shared" si="38"/>
        <v/>
      </c>
      <c r="BC78" s="57" t="str" cm="1">
        <f t="array" ref="BC78">IF(BB78&lt;&gt;"", ToGrade(BB78), "")</f>
        <v/>
      </c>
      <c r="BD78" s="58" t="str">
        <f>HISTERY!L80</f>
        <v/>
      </c>
      <c r="BE78" s="59" t="str" cm="1">
        <f t="array" ref="BE78">IF(BB78&lt;&gt;"", ToRemark(BB78), "")</f>
        <v/>
      </c>
      <c r="BF78" s="60"/>
      <c r="BG78" s="57" t="str">
        <f>IFERROR(ROUND(RME!H80,0), "")</f>
        <v/>
      </c>
      <c r="BH78" s="57" t="str">
        <f>IFERROR(ROUND(RME!J80,0), "")</f>
        <v/>
      </c>
      <c r="BI78" s="56" t="str">
        <f t="shared" si="39"/>
        <v/>
      </c>
      <c r="BJ78" s="57" t="str" cm="1">
        <f t="array" ref="BJ78">IF(BI78&lt;&gt;"", ToGrade(BI78), "")</f>
        <v/>
      </c>
      <c r="BK78" s="58" t="str">
        <f>RME!L80</f>
        <v/>
      </c>
      <c r="BL78" s="59" t="str" cm="1">
        <f t="array" ref="BL78">IF(BI78&lt;&gt;"", ToRemark(BI78), "")</f>
        <v/>
      </c>
      <c r="BM78" s="74"/>
      <c r="BN78" s="97" t="str">
        <f t="shared" si="40"/>
        <v/>
      </c>
      <c r="BO78" s="106" t="str">
        <f t="shared" si="41"/>
        <v/>
      </c>
      <c r="BP78" s="98" t="str" cm="1">
        <f t="array" ref="BP78">IFERROR(OrdinalNumber(_xlfn.RANK.EQ(BN78,$BN$3:$BN$101)), "")</f>
        <v/>
      </c>
      <c r="BQ78" s="104"/>
      <c r="BR78" s="99"/>
      <c r="BS78" s="111"/>
      <c r="BT78" s="83" t="str" cm="1">
        <f t="array" ref="BT78">IF(LEN(B78)&lt;&gt;0, GetTeacherRemark(BO78), "")</f>
        <v/>
      </c>
      <c r="BU78" s="86" t="str">
        <f t="shared" si="25"/>
        <v/>
      </c>
      <c r="BV78" s="86" t="str">
        <f t="shared" si="26"/>
        <v/>
      </c>
      <c r="BW78" s="86" t="str">
        <f t="shared" si="27"/>
        <v/>
      </c>
      <c r="BX78" s="86" t="str">
        <f t="shared" si="42"/>
        <v/>
      </c>
      <c r="BY78" s="115" t="str">
        <f t="shared" si="28"/>
        <v/>
      </c>
      <c r="BZ78" s="87" t="str">
        <f t="shared" si="29"/>
        <v/>
      </c>
      <c r="CA78" s="86" t="str">
        <f t="shared" si="30"/>
        <v/>
      </c>
      <c r="CB78" s="85"/>
    </row>
    <row r="79" spans="1:80" x14ac:dyDescent="0.25">
      <c r="A79" s="53" t="str">
        <v>77</v>
      </c>
      <c r="B79" s="54" t="str">
        <v/>
      </c>
      <c r="C79" s="55" t="str">
        <f>IFERROR(ROUND(ENGLISH!H81,0), "")</f>
        <v/>
      </c>
      <c r="D79" s="55" t="str">
        <f>IFERROR(ROUND(ENGLISH!J81,0), "")</f>
        <v/>
      </c>
      <c r="E79" s="56" t="str">
        <f t="shared" si="31"/>
        <v/>
      </c>
      <c r="F79" s="57" t="str" cm="1">
        <f t="array" ref="F79">IF(E79&lt;&gt;"", ToGrade(E79), "")</f>
        <v/>
      </c>
      <c r="G79" s="58" t="str">
        <f>ENGLISH!L81</f>
        <v/>
      </c>
      <c r="H79" s="59" t="str" cm="1">
        <f t="array" ref="H79">IF(E79&lt;&gt;"", ToRemark(E79), "")</f>
        <v/>
      </c>
      <c r="I79" s="60"/>
      <c r="J79" s="55" t="str">
        <f>IFERROR(ROUND(MATHS!H81,0), "")</f>
        <v/>
      </c>
      <c r="K79" s="55" t="str">
        <f>IFERROR(ROUND(MATHS!J81,0), "")</f>
        <v/>
      </c>
      <c r="L79" s="56" t="str">
        <f t="shared" si="32"/>
        <v/>
      </c>
      <c r="M79" s="57" t="str" cm="1">
        <f t="array" ref="M79">IF(L79&lt;&gt;"", ToGrade(L79), "")</f>
        <v/>
      </c>
      <c r="N79" s="58" t="str">
        <f>MATHS!L81</f>
        <v/>
      </c>
      <c r="O79" s="59" t="str" cm="1">
        <f t="array" ref="O79">IF(L79&lt;&gt;"", ToRemark(L79), "")</f>
        <v/>
      </c>
      <c r="P79" s="60"/>
      <c r="Q79" s="57" t="str">
        <f>IFERROR(ROUND(SCIENCE!H81,0), "")</f>
        <v/>
      </c>
      <c r="R79" s="57" t="str">
        <f>IFERROR(ROUND(SCIENCE!J81,0), "")</f>
        <v/>
      </c>
      <c r="S79" s="56" t="str">
        <f t="shared" si="33"/>
        <v/>
      </c>
      <c r="T79" s="57" t="str" cm="1">
        <f t="array" ref="T79">IF(S79&lt;&gt;"", ToGrade(S79), "")</f>
        <v/>
      </c>
      <c r="U79" s="58" t="str">
        <f>SCIENCE!L81</f>
        <v/>
      </c>
      <c r="V79" s="59" t="str" cm="1">
        <f t="array" ref="V79">IF(S79&lt;&gt;"", ToRemark(S79), "")</f>
        <v/>
      </c>
      <c r="W79" s="60"/>
      <c r="X79" s="57" t="str">
        <f>IFERROR(ROUND(OWOP!H81,0), "")</f>
        <v/>
      </c>
      <c r="Y79" s="57" t="str">
        <f>IFERROR(ROUND(OWOP!J81,0), "")</f>
        <v/>
      </c>
      <c r="Z79" s="56" t="str">
        <f t="shared" si="34"/>
        <v/>
      </c>
      <c r="AA79" s="57" t="str" cm="1">
        <f t="array" ref="AA79">IF(Z79&lt;&gt;"", ToGrade(Z79), "")</f>
        <v/>
      </c>
      <c r="AB79" s="58" t="str">
        <f>OWOP!L81</f>
        <v/>
      </c>
      <c r="AC79" s="59" t="str" cm="1">
        <f t="array" ref="AC79">IF(Z79&lt;&gt;"", ToRemark(Z79), "")</f>
        <v/>
      </c>
      <c r="AD79" s="60"/>
      <c r="AE79" s="57" t="str">
        <f>IFERROR(ROUND('C ARTS'!H81,0), "")</f>
        <v/>
      </c>
      <c r="AF79" s="57" t="str">
        <f>IFERROR(ROUND('C ARTS'!J81,0), "")</f>
        <v/>
      </c>
      <c r="AG79" s="56" t="str">
        <f t="shared" si="35"/>
        <v/>
      </c>
      <c r="AH79" s="57" t="str" cm="1">
        <f t="array" ref="AH79">IF(AG79&lt;&gt;"", ToGrade(AG79), "")</f>
        <v/>
      </c>
      <c r="AI79" s="58" t="str">
        <f>'C ARTS'!L81</f>
        <v/>
      </c>
      <c r="AJ79" s="59" t="str" cm="1">
        <f t="array" ref="AJ79">IF(AG79&lt;&gt;"", ToRemark(AG79), "")</f>
        <v/>
      </c>
      <c r="AK79" s="60"/>
      <c r="AL79" s="57" t="str">
        <f>IFERROR(ROUND('GH LANG'!H81,0), "")</f>
        <v/>
      </c>
      <c r="AM79" s="57" t="str">
        <f>IFERROR(ROUND('GH LANG'!J81,0), "")</f>
        <v/>
      </c>
      <c r="AN79" s="61" t="str">
        <f t="shared" si="36"/>
        <v/>
      </c>
      <c r="AO79" s="57" t="str" cm="1">
        <f t="array" ref="AO79">IF(AN79&lt;&gt;"", ToGrade(AN79), "")</f>
        <v/>
      </c>
      <c r="AP79" s="58" t="str">
        <f>'GH LANG'!L81</f>
        <v/>
      </c>
      <c r="AQ79" s="59" t="str" cm="1">
        <f t="array" ref="AQ79">IF(AN79&lt;&gt;"", ToRemark(AN79), "")</f>
        <v/>
      </c>
      <c r="AR79" s="60"/>
      <c r="AS79" s="57" t="str">
        <f>IFERROR(ROUND(COMPUTING!H81,0), "")</f>
        <v/>
      </c>
      <c r="AT79" s="57" t="str">
        <f>IFERROR(ROUND(COMPUTING!J81,0), "")</f>
        <v/>
      </c>
      <c r="AU79" s="56" t="str">
        <f t="shared" si="37"/>
        <v/>
      </c>
      <c r="AV79" s="57" t="str" cm="1">
        <f t="array" ref="AV79">IF(AU79&lt;&gt;"", ToGrade(AU79), "")</f>
        <v/>
      </c>
      <c r="AW79" s="58" t="str">
        <f>COMPUTING!L81</f>
        <v/>
      </c>
      <c r="AX79" s="59" t="str" cm="1">
        <f t="array" ref="AX79">IF(AU79&lt;&gt;"", ToRemark(AU79), "")</f>
        <v/>
      </c>
      <c r="AY79" s="62"/>
      <c r="AZ79" s="57" t="str">
        <f>IFERROR(ROUND(HISTERY!H81,0), "")</f>
        <v/>
      </c>
      <c r="BA79" s="57" t="str">
        <f>IFERROR(ROUND(HISTERY!J81,0), "")</f>
        <v/>
      </c>
      <c r="BB79" s="56" t="str">
        <f t="shared" si="38"/>
        <v/>
      </c>
      <c r="BC79" s="57" t="str" cm="1">
        <f t="array" ref="BC79">IF(BB79&lt;&gt;"", ToGrade(BB79), "")</f>
        <v/>
      </c>
      <c r="BD79" s="58" t="str">
        <f>HISTERY!L81</f>
        <v/>
      </c>
      <c r="BE79" s="59" t="str" cm="1">
        <f t="array" ref="BE79">IF(BB79&lt;&gt;"", ToRemark(BB79), "")</f>
        <v/>
      </c>
      <c r="BF79" s="60"/>
      <c r="BG79" s="57" t="str">
        <f>IFERROR(ROUND(RME!H81,0), "")</f>
        <v/>
      </c>
      <c r="BH79" s="57" t="str">
        <f>IFERROR(ROUND(RME!J81,0), "")</f>
        <v/>
      </c>
      <c r="BI79" s="56" t="str">
        <f t="shared" si="39"/>
        <v/>
      </c>
      <c r="BJ79" s="57" t="str" cm="1">
        <f t="array" ref="BJ79">IF(BI79&lt;&gt;"", ToGrade(BI79), "")</f>
        <v/>
      </c>
      <c r="BK79" s="58" t="str">
        <f>RME!L81</f>
        <v/>
      </c>
      <c r="BL79" s="59" t="str" cm="1">
        <f t="array" ref="BL79">IF(BI79&lt;&gt;"", ToRemark(BI79), "")</f>
        <v/>
      </c>
      <c r="BM79" s="74"/>
      <c r="BN79" s="97" t="str">
        <f t="shared" si="40"/>
        <v/>
      </c>
      <c r="BO79" s="106" t="str">
        <f t="shared" si="41"/>
        <v/>
      </c>
      <c r="BP79" s="98" t="str" cm="1">
        <f t="array" ref="BP79">IFERROR(OrdinalNumber(_xlfn.RANK.EQ(BN79,$BN$3:$BN$101)), "")</f>
        <v/>
      </c>
      <c r="BQ79" s="104"/>
      <c r="BR79" s="99"/>
      <c r="BS79" s="111"/>
      <c r="BT79" s="83" t="str" cm="1">
        <f t="array" ref="BT79">IF(LEN(B79)&lt;&gt;0, GetTeacherRemark(BO79), "")</f>
        <v/>
      </c>
      <c r="BU79" s="86" t="str">
        <f t="shared" si="25"/>
        <v/>
      </c>
      <c r="BV79" s="86" t="str">
        <f t="shared" si="26"/>
        <v/>
      </c>
      <c r="BW79" s="86" t="str">
        <f t="shared" si="27"/>
        <v/>
      </c>
      <c r="BX79" s="86" t="str">
        <f t="shared" si="42"/>
        <v/>
      </c>
      <c r="BY79" s="115" t="str">
        <f t="shared" si="28"/>
        <v/>
      </c>
      <c r="BZ79" s="87" t="str">
        <f t="shared" si="29"/>
        <v/>
      </c>
      <c r="CA79" s="86" t="str">
        <f t="shared" si="30"/>
        <v/>
      </c>
      <c r="CB79" s="85"/>
    </row>
    <row r="80" spans="1:80" x14ac:dyDescent="0.25">
      <c r="A80" s="53" t="str">
        <v>78</v>
      </c>
      <c r="B80" s="54" t="str">
        <v/>
      </c>
      <c r="C80" s="55" t="str">
        <f>IFERROR(ROUND(ENGLISH!H82,0), "")</f>
        <v/>
      </c>
      <c r="D80" s="55" t="str">
        <f>IFERROR(ROUND(ENGLISH!J82,0), "")</f>
        <v/>
      </c>
      <c r="E80" s="56" t="str">
        <f t="shared" si="31"/>
        <v/>
      </c>
      <c r="F80" s="57" t="str" cm="1">
        <f t="array" ref="F80">IF(E80&lt;&gt;"", ToGrade(E80), "")</f>
        <v/>
      </c>
      <c r="G80" s="58" t="str">
        <f>ENGLISH!L82</f>
        <v/>
      </c>
      <c r="H80" s="59" t="str" cm="1">
        <f t="array" ref="H80">IF(E80&lt;&gt;"", ToRemark(E80), "")</f>
        <v/>
      </c>
      <c r="I80" s="60"/>
      <c r="J80" s="55" t="str">
        <f>IFERROR(ROUND(MATHS!H82,0), "")</f>
        <v/>
      </c>
      <c r="K80" s="55" t="str">
        <f>IFERROR(ROUND(MATHS!J82,0), "")</f>
        <v/>
      </c>
      <c r="L80" s="56" t="str">
        <f t="shared" si="32"/>
        <v/>
      </c>
      <c r="M80" s="57" t="str" cm="1">
        <f t="array" ref="M80">IF(L80&lt;&gt;"", ToGrade(L80), "")</f>
        <v/>
      </c>
      <c r="N80" s="58" t="str">
        <f>MATHS!L82</f>
        <v/>
      </c>
      <c r="O80" s="59" t="str" cm="1">
        <f t="array" ref="O80">IF(L80&lt;&gt;"", ToRemark(L80), "")</f>
        <v/>
      </c>
      <c r="P80" s="60"/>
      <c r="Q80" s="57" t="str">
        <f>IFERROR(ROUND(SCIENCE!H82,0), "")</f>
        <v/>
      </c>
      <c r="R80" s="57" t="str">
        <f>IFERROR(ROUND(SCIENCE!J82,0), "")</f>
        <v/>
      </c>
      <c r="S80" s="56" t="str">
        <f t="shared" si="33"/>
        <v/>
      </c>
      <c r="T80" s="57" t="str" cm="1">
        <f t="array" ref="T80">IF(S80&lt;&gt;"", ToGrade(S80), "")</f>
        <v/>
      </c>
      <c r="U80" s="58" t="str">
        <f>SCIENCE!L82</f>
        <v/>
      </c>
      <c r="V80" s="59" t="str" cm="1">
        <f t="array" ref="V80">IF(S80&lt;&gt;"", ToRemark(S80), "")</f>
        <v/>
      </c>
      <c r="W80" s="60"/>
      <c r="X80" s="57" t="str">
        <f>IFERROR(ROUND(OWOP!H82,0), "")</f>
        <v/>
      </c>
      <c r="Y80" s="57" t="str">
        <f>IFERROR(ROUND(OWOP!J82,0), "")</f>
        <v/>
      </c>
      <c r="Z80" s="56" t="str">
        <f t="shared" si="34"/>
        <v/>
      </c>
      <c r="AA80" s="57" t="str" cm="1">
        <f t="array" ref="AA80">IF(Z80&lt;&gt;"", ToGrade(Z80), "")</f>
        <v/>
      </c>
      <c r="AB80" s="58" t="str">
        <f>OWOP!L82</f>
        <v/>
      </c>
      <c r="AC80" s="59" t="str" cm="1">
        <f t="array" ref="AC80">IF(Z80&lt;&gt;"", ToRemark(Z80), "")</f>
        <v/>
      </c>
      <c r="AD80" s="60"/>
      <c r="AE80" s="57" t="str">
        <f>IFERROR(ROUND('C ARTS'!H82,0), "")</f>
        <v/>
      </c>
      <c r="AF80" s="57" t="str">
        <f>IFERROR(ROUND('C ARTS'!J82,0), "")</f>
        <v/>
      </c>
      <c r="AG80" s="56" t="str">
        <f t="shared" si="35"/>
        <v/>
      </c>
      <c r="AH80" s="57" t="str" cm="1">
        <f t="array" ref="AH80">IF(AG80&lt;&gt;"", ToGrade(AG80), "")</f>
        <v/>
      </c>
      <c r="AI80" s="58" t="str">
        <f>'C ARTS'!L82</f>
        <v/>
      </c>
      <c r="AJ80" s="59" t="str" cm="1">
        <f t="array" ref="AJ80">IF(AG80&lt;&gt;"", ToRemark(AG80), "")</f>
        <v/>
      </c>
      <c r="AK80" s="60"/>
      <c r="AL80" s="57" t="str">
        <f>IFERROR(ROUND('GH LANG'!H82,0), "")</f>
        <v/>
      </c>
      <c r="AM80" s="57" t="str">
        <f>IFERROR(ROUND('GH LANG'!J82,0), "")</f>
        <v/>
      </c>
      <c r="AN80" s="61" t="str">
        <f t="shared" si="36"/>
        <v/>
      </c>
      <c r="AO80" s="57" t="str" cm="1">
        <f t="array" ref="AO80">IF(AN80&lt;&gt;"", ToGrade(AN80), "")</f>
        <v/>
      </c>
      <c r="AP80" s="58" t="str">
        <f>'GH LANG'!L82</f>
        <v/>
      </c>
      <c r="AQ80" s="59" t="str" cm="1">
        <f t="array" ref="AQ80">IF(AN80&lt;&gt;"", ToRemark(AN80), "")</f>
        <v/>
      </c>
      <c r="AR80" s="60"/>
      <c r="AS80" s="57" t="str">
        <f>IFERROR(ROUND(COMPUTING!H82,0), "")</f>
        <v/>
      </c>
      <c r="AT80" s="57" t="str">
        <f>IFERROR(ROUND(COMPUTING!J82,0), "")</f>
        <v/>
      </c>
      <c r="AU80" s="56" t="str">
        <f t="shared" si="37"/>
        <v/>
      </c>
      <c r="AV80" s="57" t="str" cm="1">
        <f t="array" ref="AV80">IF(AU80&lt;&gt;"", ToGrade(AU80), "")</f>
        <v/>
      </c>
      <c r="AW80" s="58" t="str">
        <f>COMPUTING!L82</f>
        <v/>
      </c>
      <c r="AX80" s="59" t="str" cm="1">
        <f t="array" ref="AX80">IF(AU80&lt;&gt;"", ToRemark(AU80), "")</f>
        <v/>
      </c>
      <c r="AY80" s="62"/>
      <c r="AZ80" s="57" t="str">
        <f>IFERROR(ROUND(HISTERY!H82,0), "")</f>
        <v/>
      </c>
      <c r="BA80" s="57" t="str">
        <f>IFERROR(ROUND(HISTERY!J82,0), "")</f>
        <v/>
      </c>
      <c r="BB80" s="56" t="str">
        <f t="shared" si="38"/>
        <v/>
      </c>
      <c r="BC80" s="57" t="str" cm="1">
        <f t="array" ref="BC80">IF(BB80&lt;&gt;"", ToGrade(BB80), "")</f>
        <v/>
      </c>
      <c r="BD80" s="58" t="str">
        <f>HISTERY!L82</f>
        <v/>
      </c>
      <c r="BE80" s="59" t="str" cm="1">
        <f t="array" ref="BE80">IF(BB80&lt;&gt;"", ToRemark(BB80), "")</f>
        <v/>
      </c>
      <c r="BF80" s="60"/>
      <c r="BG80" s="57" t="str">
        <f>IFERROR(ROUND(RME!H82,0), "")</f>
        <v/>
      </c>
      <c r="BH80" s="57" t="str">
        <f>IFERROR(ROUND(RME!J82,0), "")</f>
        <v/>
      </c>
      <c r="BI80" s="56" t="str">
        <f t="shared" si="39"/>
        <v/>
      </c>
      <c r="BJ80" s="57" t="str" cm="1">
        <f t="array" ref="BJ80">IF(BI80&lt;&gt;"", ToGrade(BI80), "")</f>
        <v/>
      </c>
      <c r="BK80" s="58" t="str">
        <f>RME!L82</f>
        <v/>
      </c>
      <c r="BL80" s="59" t="str" cm="1">
        <f t="array" ref="BL80">IF(BI80&lt;&gt;"", ToRemark(BI80), "")</f>
        <v/>
      </c>
      <c r="BM80" s="74"/>
      <c r="BN80" s="97" t="str">
        <f t="shared" si="40"/>
        <v/>
      </c>
      <c r="BO80" s="106" t="str">
        <f t="shared" si="41"/>
        <v/>
      </c>
      <c r="BP80" s="98" t="str" cm="1">
        <f t="array" ref="BP80">IFERROR(OrdinalNumber(_xlfn.RANK.EQ(BN80,$BN$3:$BN$101)), "")</f>
        <v/>
      </c>
      <c r="BQ80" s="104"/>
      <c r="BR80" s="99"/>
      <c r="BS80" s="111"/>
      <c r="BT80" s="83" t="str" cm="1">
        <f t="array" ref="BT80">IF(LEN(B80)&lt;&gt;0, GetTeacherRemark(BO80), "")</f>
        <v/>
      </c>
      <c r="BU80" s="86" t="str">
        <f t="shared" si="25"/>
        <v/>
      </c>
      <c r="BV80" s="86" t="str">
        <f t="shared" si="26"/>
        <v/>
      </c>
      <c r="BW80" s="86" t="str">
        <f t="shared" si="27"/>
        <v/>
      </c>
      <c r="BX80" s="86" t="str">
        <f t="shared" si="42"/>
        <v/>
      </c>
      <c r="BY80" s="115" t="str">
        <f t="shared" si="28"/>
        <v/>
      </c>
      <c r="BZ80" s="87" t="str">
        <f t="shared" si="29"/>
        <v/>
      </c>
      <c r="CA80" s="86" t="str">
        <f t="shared" si="30"/>
        <v/>
      </c>
      <c r="CB80" s="85"/>
    </row>
    <row r="81" spans="1:80" x14ac:dyDescent="0.25">
      <c r="A81" s="53" t="str">
        <v>79</v>
      </c>
      <c r="B81" s="54" t="str">
        <v/>
      </c>
      <c r="C81" s="55" t="str">
        <f>IFERROR(ROUND(ENGLISH!H83,0), "")</f>
        <v/>
      </c>
      <c r="D81" s="55" t="str">
        <f>IFERROR(ROUND(ENGLISH!J83,0), "")</f>
        <v/>
      </c>
      <c r="E81" s="56" t="str">
        <f t="shared" si="31"/>
        <v/>
      </c>
      <c r="F81" s="57" t="str" cm="1">
        <f t="array" ref="F81">IF(E81&lt;&gt;"", ToGrade(E81), "")</f>
        <v/>
      </c>
      <c r="G81" s="58" t="str">
        <f>ENGLISH!L83</f>
        <v/>
      </c>
      <c r="H81" s="59" t="str" cm="1">
        <f t="array" ref="H81">IF(E81&lt;&gt;"", ToRemark(E81), "")</f>
        <v/>
      </c>
      <c r="I81" s="60"/>
      <c r="J81" s="55" t="str">
        <f>IFERROR(ROUND(MATHS!H83,0), "")</f>
        <v/>
      </c>
      <c r="K81" s="55" t="str">
        <f>IFERROR(ROUND(MATHS!J83,0), "")</f>
        <v/>
      </c>
      <c r="L81" s="56" t="str">
        <f t="shared" si="32"/>
        <v/>
      </c>
      <c r="M81" s="57" t="str" cm="1">
        <f t="array" ref="M81">IF(L81&lt;&gt;"", ToGrade(L81), "")</f>
        <v/>
      </c>
      <c r="N81" s="58" t="str">
        <f>MATHS!L83</f>
        <v/>
      </c>
      <c r="O81" s="59" t="str" cm="1">
        <f t="array" ref="O81">IF(L81&lt;&gt;"", ToRemark(L81), "")</f>
        <v/>
      </c>
      <c r="P81" s="60"/>
      <c r="Q81" s="57" t="str">
        <f>IFERROR(ROUND(SCIENCE!H83,0), "")</f>
        <v/>
      </c>
      <c r="R81" s="57" t="str">
        <f>IFERROR(ROUND(SCIENCE!J83,0), "")</f>
        <v/>
      </c>
      <c r="S81" s="56" t="str">
        <f t="shared" si="33"/>
        <v/>
      </c>
      <c r="T81" s="57" t="str" cm="1">
        <f t="array" ref="T81">IF(S81&lt;&gt;"", ToGrade(S81), "")</f>
        <v/>
      </c>
      <c r="U81" s="58" t="str">
        <f>SCIENCE!L83</f>
        <v/>
      </c>
      <c r="V81" s="59" t="str" cm="1">
        <f t="array" ref="V81">IF(S81&lt;&gt;"", ToRemark(S81), "")</f>
        <v/>
      </c>
      <c r="W81" s="60"/>
      <c r="X81" s="57" t="str">
        <f>IFERROR(ROUND(OWOP!H83,0), "")</f>
        <v/>
      </c>
      <c r="Y81" s="57" t="str">
        <f>IFERROR(ROUND(OWOP!J83,0), "")</f>
        <v/>
      </c>
      <c r="Z81" s="56" t="str">
        <f t="shared" si="34"/>
        <v/>
      </c>
      <c r="AA81" s="57" t="str" cm="1">
        <f t="array" ref="AA81">IF(Z81&lt;&gt;"", ToGrade(Z81), "")</f>
        <v/>
      </c>
      <c r="AB81" s="58" t="str">
        <f>OWOP!L83</f>
        <v/>
      </c>
      <c r="AC81" s="59" t="str" cm="1">
        <f t="array" ref="AC81">IF(Z81&lt;&gt;"", ToRemark(Z81), "")</f>
        <v/>
      </c>
      <c r="AD81" s="60"/>
      <c r="AE81" s="57" t="str">
        <f>IFERROR(ROUND('C ARTS'!H83,0), "")</f>
        <v/>
      </c>
      <c r="AF81" s="57" t="str">
        <f>IFERROR(ROUND('C ARTS'!J83,0), "")</f>
        <v/>
      </c>
      <c r="AG81" s="56" t="str">
        <f t="shared" si="35"/>
        <v/>
      </c>
      <c r="AH81" s="57" t="str" cm="1">
        <f t="array" ref="AH81">IF(AG81&lt;&gt;"", ToGrade(AG81), "")</f>
        <v/>
      </c>
      <c r="AI81" s="58" t="str">
        <f>'C ARTS'!L83</f>
        <v/>
      </c>
      <c r="AJ81" s="59" t="str" cm="1">
        <f t="array" ref="AJ81">IF(AG81&lt;&gt;"", ToRemark(AG81), "")</f>
        <v/>
      </c>
      <c r="AK81" s="60"/>
      <c r="AL81" s="57" t="str">
        <f>IFERROR(ROUND('GH LANG'!H83,0), "")</f>
        <v/>
      </c>
      <c r="AM81" s="57" t="str">
        <f>IFERROR(ROUND('GH LANG'!J83,0), "")</f>
        <v/>
      </c>
      <c r="AN81" s="61" t="str">
        <f t="shared" si="36"/>
        <v/>
      </c>
      <c r="AO81" s="57" t="str" cm="1">
        <f t="array" ref="AO81">IF(AN81&lt;&gt;"", ToGrade(AN81), "")</f>
        <v/>
      </c>
      <c r="AP81" s="58" t="str">
        <f>'GH LANG'!L83</f>
        <v/>
      </c>
      <c r="AQ81" s="59" t="str" cm="1">
        <f t="array" ref="AQ81">IF(AN81&lt;&gt;"", ToRemark(AN81), "")</f>
        <v/>
      </c>
      <c r="AR81" s="60"/>
      <c r="AS81" s="57" t="str">
        <f>IFERROR(ROUND(COMPUTING!H83,0), "")</f>
        <v/>
      </c>
      <c r="AT81" s="57" t="str">
        <f>IFERROR(ROUND(COMPUTING!J83,0), "")</f>
        <v/>
      </c>
      <c r="AU81" s="56" t="str">
        <f t="shared" si="37"/>
        <v/>
      </c>
      <c r="AV81" s="57" t="str" cm="1">
        <f t="array" ref="AV81">IF(AU81&lt;&gt;"", ToGrade(AU81), "")</f>
        <v/>
      </c>
      <c r="AW81" s="58" t="str">
        <f>COMPUTING!L83</f>
        <v/>
      </c>
      <c r="AX81" s="59" t="str" cm="1">
        <f t="array" ref="AX81">IF(AU81&lt;&gt;"", ToRemark(AU81), "")</f>
        <v/>
      </c>
      <c r="AY81" s="62"/>
      <c r="AZ81" s="57" t="str">
        <f>IFERROR(ROUND(HISTERY!H83,0), "")</f>
        <v/>
      </c>
      <c r="BA81" s="57" t="str">
        <f>IFERROR(ROUND(HISTERY!J83,0), "")</f>
        <v/>
      </c>
      <c r="BB81" s="56" t="str">
        <f t="shared" si="38"/>
        <v/>
      </c>
      <c r="BC81" s="57" t="str" cm="1">
        <f t="array" ref="BC81">IF(BB81&lt;&gt;"", ToGrade(BB81), "")</f>
        <v/>
      </c>
      <c r="BD81" s="58" t="str">
        <f>HISTERY!L83</f>
        <v/>
      </c>
      <c r="BE81" s="59" t="str" cm="1">
        <f t="array" ref="BE81">IF(BB81&lt;&gt;"", ToRemark(BB81), "")</f>
        <v/>
      </c>
      <c r="BF81" s="60"/>
      <c r="BG81" s="57" t="str">
        <f>IFERROR(ROUND(RME!H83,0), "")</f>
        <v/>
      </c>
      <c r="BH81" s="57" t="str">
        <f>IFERROR(ROUND(RME!J83,0), "")</f>
        <v/>
      </c>
      <c r="BI81" s="56" t="str">
        <f t="shared" si="39"/>
        <v/>
      </c>
      <c r="BJ81" s="57" t="str" cm="1">
        <f t="array" ref="BJ81">IF(BI81&lt;&gt;"", ToGrade(BI81), "")</f>
        <v/>
      </c>
      <c r="BK81" s="58" t="str">
        <f>RME!L83</f>
        <v/>
      </c>
      <c r="BL81" s="59" t="str" cm="1">
        <f t="array" ref="BL81">IF(BI81&lt;&gt;"", ToRemark(BI81), "")</f>
        <v/>
      </c>
      <c r="BM81" s="74"/>
      <c r="BN81" s="97" t="str">
        <f t="shared" si="40"/>
        <v/>
      </c>
      <c r="BO81" s="106" t="str">
        <f t="shared" si="41"/>
        <v/>
      </c>
      <c r="BP81" s="98" t="str" cm="1">
        <f t="array" ref="BP81">IFERROR(OrdinalNumber(_xlfn.RANK.EQ(BN81,$BN$3:$BN$101)), "")</f>
        <v/>
      </c>
      <c r="BQ81" s="104"/>
      <c r="BR81" s="99"/>
      <c r="BS81" s="111"/>
      <c r="BT81" s="83" t="str" cm="1">
        <f t="array" ref="BT81">IF(LEN(B81)&lt;&gt;0, GetTeacherRemark(BO81), "")</f>
        <v/>
      </c>
      <c r="BU81" s="86" t="str">
        <f t="shared" si="25"/>
        <v/>
      </c>
      <c r="BV81" s="86" t="str">
        <f t="shared" si="26"/>
        <v/>
      </c>
      <c r="BW81" s="86" t="str">
        <f t="shared" si="27"/>
        <v/>
      </c>
      <c r="BX81" s="86" t="str">
        <f t="shared" si="42"/>
        <v/>
      </c>
      <c r="BY81" s="115" t="str">
        <f t="shared" si="28"/>
        <v/>
      </c>
      <c r="BZ81" s="87" t="str">
        <f t="shared" si="29"/>
        <v/>
      </c>
      <c r="CA81" s="86" t="str">
        <f t="shared" si="30"/>
        <v/>
      </c>
      <c r="CB81" s="85"/>
    </row>
    <row r="82" spans="1:80" x14ac:dyDescent="0.25">
      <c r="A82" s="53" t="str">
        <v>80</v>
      </c>
      <c r="B82" s="54" t="str">
        <v/>
      </c>
      <c r="C82" s="55" t="str">
        <f>IFERROR(ROUND(ENGLISH!H84,0), "")</f>
        <v/>
      </c>
      <c r="D82" s="55" t="str">
        <f>IFERROR(ROUND(ENGLISH!J84,0), "")</f>
        <v/>
      </c>
      <c r="E82" s="56" t="str">
        <f t="shared" si="31"/>
        <v/>
      </c>
      <c r="F82" s="57" t="str" cm="1">
        <f t="array" ref="F82">IF(E82&lt;&gt;"", ToGrade(E82), "")</f>
        <v/>
      </c>
      <c r="G82" s="58" t="str">
        <f>ENGLISH!L84</f>
        <v/>
      </c>
      <c r="H82" s="59" t="str" cm="1">
        <f t="array" ref="H82">IF(E82&lt;&gt;"", ToRemark(E82), "")</f>
        <v/>
      </c>
      <c r="I82" s="60"/>
      <c r="J82" s="55" t="str">
        <f>IFERROR(ROUND(MATHS!H84,0), "")</f>
        <v/>
      </c>
      <c r="K82" s="55" t="str">
        <f>IFERROR(ROUND(MATHS!J84,0), "")</f>
        <v/>
      </c>
      <c r="L82" s="56" t="str">
        <f t="shared" si="32"/>
        <v/>
      </c>
      <c r="M82" s="57" t="str" cm="1">
        <f t="array" ref="M82">IF(L82&lt;&gt;"", ToGrade(L82), "")</f>
        <v/>
      </c>
      <c r="N82" s="58" t="str">
        <f>MATHS!L84</f>
        <v/>
      </c>
      <c r="O82" s="59" t="str" cm="1">
        <f t="array" ref="O82">IF(L82&lt;&gt;"", ToRemark(L82), "")</f>
        <v/>
      </c>
      <c r="P82" s="60"/>
      <c r="Q82" s="57" t="str">
        <f>IFERROR(ROUND(SCIENCE!H84,0), "")</f>
        <v/>
      </c>
      <c r="R82" s="57" t="str">
        <f>IFERROR(ROUND(SCIENCE!J84,0), "")</f>
        <v/>
      </c>
      <c r="S82" s="56" t="str">
        <f t="shared" si="33"/>
        <v/>
      </c>
      <c r="T82" s="57" t="str" cm="1">
        <f t="array" ref="T82">IF(S82&lt;&gt;"", ToGrade(S82), "")</f>
        <v/>
      </c>
      <c r="U82" s="58" t="str">
        <f>SCIENCE!L84</f>
        <v/>
      </c>
      <c r="V82" s="59" t="str" cm="1">
        <f t="array" ref="V82">IF(S82&lt;&gt;"", ToRemark(S82), "")</f>
        <v/>
      </c>
      <c r="W82" s="60"/>
      <c r="X82" s="57" t="str">
        <f>IFERROR(ROUND(OWOP!H84,0), "")</f>
        <v/>
      </c>
      <c r="Y82" s="57" t="str">
        <f>IFERROR(ROUND(OWOP!J84,0), "")</f>
        <v/>
      </c>
      <c r="Z82" s="56" t="str">
        <f t="shared" si="34"/>
        <v/>
      </c>
      <c r="AA82" s="57" t="str" cm="1">
        <f t="array" ref="AA82">IF(Z82&lt;&gt;"", ToGrade(Z82), "")</f>
        <v/>
      </c>
      <c r="AB82" s="58" t="str">
        <f>OWOP!L84</f>
        <v/>
      </c>
      <c r="AC82" s="59" t="str" cm="1">
        <f t="array" ref="AC82">IF(Z82&lt;&gt;"", ToRemark(Z82), "")</f>
        <v/>
      </c>
      <c r="AD82" s="60"/>
      <c r="AE82" s="57" t="str">
        <f>IFERROR(ROUND('C ARTS'!H84,0), "")</f>
        <v/>
      </c>
      <c r="AF82" s="57" t="str">
        <f>IFERROR(ROUND('C ARTS'!J84,0), "")</f>
        <v/>
      </c>
      <c r="AG82" s="56" t="str">
        <f t="shared" si="35"/>
        <v/>
      </c>
      <c r="AH82" s="57" t="str" cm="1">
        <f t="array" ref="AH82">IF(AG82&lt;&gt;"", ToGrade(AG82), "")</f>
        <v/>
      </c>
      <c r="AI82" s="58" t="str">
        <f>'C ARTS'!L84</f>
        <v/>
      </c>
      <c r="AJ82" s="59" t="str" cm="1">
        <f t="array" ref="AJ82">IF(AG82&lt;&gt;"", ToRemark(AG82), "")</f>
        <v/>
      </c>
      <c r="AK82" s="60"/>
      <c r="AL82" s="57" t="str">
        <f>IFERROR(ROUND('GH LANG'!H84,0), "")</f>
        <v/>
      </c>
      <c r="AM82" s="57" t="str">
        <f>IFERROR(ROUND('GH LANG'!J84,0), "")</f>
        <v/>
      </c>
      <c r="AN82" s="61" t="str">
        <f t="shared" si="36"/>
        <v/>
      </c>
      <c r="AO82" s="57" t="str" cm="1">
        <f t="array" ref="AO82">IF(AN82&lt;&gt;"", ToGrade(AN82), "")</f>
        <v/>
      </c>
      <c r="AP82" s="58" t="str">
        <f>'GH LANG'!L84</f>
        <v/>
      </c>
      <c r="AQ82" s="59" t="str" cm="1">
        <f t="array" ref="AQ82">IF(AN82&lt;&gt;"", ToRemark(AN82), "")</f>
        <v/>
      </c>
      <c r="AR82" s="60"/>
      <c r="AS82" s="57" t="str">
        <f>IFERROR(ROUND(COMPUTING!H84,0), "")</f>
        <v/>
      </c>
      <c r="AT82" s="57" t="str">
        <f>IFERROR(ROUND(COMPUTING!J84,0), "")</f>
        <v/>
      </c>
      <c r="AU82" s="56" t="str">
        <f t="shared" si="37"/>
        <v/>
      </c>
      <c r="AV82" s="57" t="str" cm="1">
        <f t="array" ref="AV82">IF(AU82&lt;&gt;"", ToGrade(AU82), "")</f>
        <v/>
      </c>
      <c r="AW82" s="58" t="str">
        <f>COMPUTING!L84</f>
        <v/>
      </c>
      <c r="AX82" s="59" t="str" cm="1">
        <f t="array" ref="AX82">IF(AU82&lt;&gt;"", ToRemark(AU82), "")</f>
        <v/>
      </c>
      <c r="AY82" s="62"/>
      <c r="AZ82" s="57" t="str">
        <f>IFERROR(ROUND(HISTERY!H84,0), "")</f>
        <v/>
      </c>
      <c r="BA82" s="57" t="str">
        <f>IFERROR(ROUND(HISTERY!J84,0), "")</f>
        <v/>
      </c>
      <c r="BB82" s="56" t="str">
        <f t="shared" si="38"/>
        <v/>
      </c>
      <c r="BC82" s="57" t="str" cm="1">
        <f t="array" ref="BC82">IF(BB82&lt;&gt;"", ToGrade(BB82), "")</f>
        <v/>
      </c>
      <c r="BD82" s="58" t="str">
        <f>HISTERY!L84</f>
        <v/>
      </c>
      <c r="BE82" s="59" t="str" cm="1">
        <f t="array" ref="BE82">IF(BB82&lt;&gt;"", ToRemark(BB82), "")</f>
        <v/>
      </c>
      <c r="BF82" s="60"/>
      <c r="BG82" s="57" t="str">
        <f>IFERROR(ROUND(RME!H84,0), "")</f>
        <v/>
      </c>
      <c r="BH82" s="57" t="str">
        <f>IFERROR(ROUND(RME!J84,0), "")</f>
        <v/>
      </c>
      <c r="BI82" s="56" t="str">
        <f t="shared" si="39"/>
        <v/>
      </c>
      <c r="BJ82" s="57" t="str" cm="1">
        <f t="array" ref="BJ82">IF(BI82&lt;&gt;"", ToGrade(BI82), "")</f>
        <v/>
      </c>
      <c r="BK82" s="58" t="str">
        <f>RME!L84</f>
        <v/>
      </c>
      <c r="BL82" s="59" t="str" cm="1">
        <f t="array" ref="BL82">IF(BI82&lt;&gt;"", ToRemark(BI82), "")</f>
        <v/>
      </c>
      <c r="BM82" s="74"/>
      <c r="BN82" s="97" t="str">
        <f t="shared" si="40"/>
        <v/>
      </c>
      <c r="BO82" s="106" t="str">
        <f t="shared" si="41"/>
        <v/>
      </c>
      <c r="BP82" s="98" t="str" cm="1">
        <f t="array" ref="BP82">IFERROR(OrdinalNumber(_xlfn.RANK.EQ(BN82,$BN$3:$BN$101)), "")</f>
        <v/>
      </c>
      <c r="BQ82" s="104"/>
      <c r="BR82" s="99"/>
      <c r="BS82" s="111"/>
      <c r="BT82" s="83" t="str" cm="1">
        <f t="array" ref="BT82">IF(LEN(B82)&lt;&gt;0, GetTeacherRemark(BO82), "")</f>
        <v/>
      </c>
      <c r="BU82" s="86" t="str">
        <f t="shared" si="25"/>
        <v/>
      </c>
      <c r="BV82" s="86" t="str">
        <f t="shared" si="26"/>
        <v/>
      </c>
      <c r="BW82" s="86" t="str">
        <f t="shared" si="27"/>
        <v/>
      </c>
      <c r="BX82" s="86" t="str">
        <f t="shared" si="42"/>
        <v/>
      </c>
      <c r="BY82" s="115" t="str">
        <f t="shared" si="28"/>
        <v/>
      </c>
      <c r="BZ82" s="87" t="str">
        <f t="shared" si="29"/>
        <v/>
      </c>
      <c r="CA82" s="86" t="str">
        <f t="shared" si="30"/>
        <v/>
      </c>
      <c r="CB82" s="85"/>
    </row>
    <row r="83" spans="1:80" x14ac:dyDescent="0.25">
      <c r="A83" s="53" t="str">
        <v>81</v>
      </c>
      <c r="B83" s="54" t="str">
        <v/>
      </c>
      <c r="C83" s="55" t="str">
        <f>IFERROR(ROUND(ENGLISH!H85,0), "")</f>
        <v/>
      </c>
      <c r="D83" s="55" t="str">
        <f>IFERROR(ROUND(ENGLISH!J85,0), "")</f>
        <v/>
      </c>
      <c r="E83" s="56" t="str">
        <f t="shared" si="31"/>
        <v/>
      </c>
      <c r="F83" s="57" t="str" cm="1">
        <f t="array" ref="F83">IF(E83&lt;&gt;"", ToGrade(E83), "")</f>
        <v/>
      </c>
      <c r="G83" s="58" t="str">
        <f>ENGLISH!L85</f>
        <v/>
      </c>
      <c r="H83" s="59" t="str" cm="1">
        <f t="array" ref="H83">IF(E83&lt;&gt;"", ToRemark(E83), "")</f>
        <v/>
      </c>
      <c r="I83" s="60"/>
      <c r="J83" s="55" t="str">
        <f>IFERROR(ROUND(MATHS!H85,0), "")</f>
        <v/>
      </c>
      <c r="K83" s="55" t="str">
        <f>IFERROR(ROUND(MATHS!J85,0), "")</f>
        <v/>
      </c>
      <c r="L83" s="56" t="str">
        <f t="shared" si="32"/>
        <v/>
      </c>
      <c r="M83" s="57" t="str" cm="1">
        <f t="array" ref="M83">IF(L83&lt;&gt;"", ToGrade(L83), "")</f>
        <v/>
      </c>
      <c r="N83" s="58" t="str">
        <f>MATHS!L85</f>
        <v/>
      </c>
      <c r="O83" s="59" t="str" cm="1">
        <f t="array" ref="O83">IF(L83&lt;&gt;"", ToRemark(L83), "")</f>
        <v/>
      </c>
      <c r="P83" s="60"/>
      <c r="Q83" s="57" t="str">
        <f>IFERROR(ROUND(SCIENCE!H85,0), "")</f>
        <v/>
      </c>
      <c r="R83" s="57" t="str">
        <f>IFERROR(ROUND(SCIENCE!J85,0), "")</f>
        <v/>
      </c>
      <c r="S83" s="56" t="str">
        <f t="shared" si="33"/>
        <v/>
      </c>
      <c r="T83" s="57" t="str" cm="1">
        <f t="array" ref="T83">IF(S83&lt;&gt;"", ToGrade(S83), "")</f>
        <v/>
      </c>
      <c r="U83" s="58" t="str">
        <f>SCIENCE!L85</f>
        <v/>
      </c>
      <c r="V83" s="59" t="str" cm="1">
        <f t="array" ref="V83">IF(S83&lt;&gt;"", ToRemark(S83), "")</f>
        <v/>
      </c>
      <c r="W83" s="60"/>
      <c r="X83" s="57" t="str">
        <f>IFERROR(ROUND(OWOP!H85,0), "")</f>
        <v/>
      </c>
      <c r="Y83" s="57" t="str">
        <f>IFERROR(ROUND(OWOP!J85,0), "")</f>
        <v/>
      </c>
      <c r="Z83" s="56" t="str">
        <f t="shared" si="34"/>
        <v/>
      </c>
      <c r="AA83" s="57" t="str" cm="1">
        <f t="array" ref="AA83">IF(Z83&lt;&gt;"", ToGrade(Z83), "")</f>
        <v/>
      </c>
      <c r="AB83" s="58" t="str">
        <f>OWOP!L85</f>
        <v/>
      </c>
      <c r="AC83" s="59" t="str" cm="1">
        <f t="array" ref="AC83">IF(Z83&lt;&gt;"", ToRemark(Z83), "")</f>
        <v/>
      </c>
      <c r="AD83" s="60"/>
      <c r="AE83" s="57" t="str">
        <f>IFERROR(ROUND('C ARTS'!H85,0), "")</f>
        <v/>
      </c>
      <c r="AF83" s="57" t="str">
        <f>IFERROR(ROUND('C ARTS'!J85,0), "")</f>
        <v/>
      </c>
      <c r="AG83" s="56" t="str">
        <f t="shared" si="35"/>
        <v/>
      </c>
      <c r="AH83" s="57" t="str" cm="1">
        <f t="array" ref="AH83">IF(AG83&lt;&gt;"", ToGrade(AG83), "")</f>
        <v/>
      </c>
      <c r="AI83" s="58" t="str">
        <f>'C ARTS'!L85</f>
        <v/>
      </c>
      <c r="AJ83" s="59" t="str" cm="1">
        <f t="array" ref="AJ83">IF(AG83&lt;&gt;"", ToRemark(AG83), "")</f>
        <v/>
      </c>
      <c r="AK83" s="60"/>
      <c r="AL83" s="57" t="str">
        <f>IFERROR(ROUND('GH LANG'!H85,0), "")</f>
        <v/>
      </c>
      <c r="AM83" s="57" t="str">
        <f>IFERROR(ROUND('GH LANG'!J85,0), "")</f>
        <v/>
      </c>
      <c r="AN83" s="61" t="str">
        <f t="shared" si="36"/>
        <v/>
      </c>
      <c r="AO83" s="57" t="str" cm="1">
        <f t="array" ref="AO83">IF(AN83&lt;&gt;"", ToGrade(AN83), "")</f>
        <v/>
      </c>
      <c r="AP83" s="58" t="str">
        <f>'GH LANG'!L85</f>
        <v/>
      </c>
      <c r="AQ83" s="59" t="str" cm="1">
        <f t="array" ref="AQ83">IF(AN83&lt;&gt;"", ToRemark(AN83), "")</f>
        <v/>
      </c>
      <c r="AR83" s="60"/>
      <c r="AS83" s="57" t="str">
        <f>IFERROR(ROUND(COMPUTING!H85,0), "")</f>
        <v/>
      </c>
      <c r="AT83" s="57" t="str">
        <f>IFERROR(ROUND(COMPUTING!J85,0), "")</f>
        <v/>
      </c>
      <c r="AU83" s="56" t="str">
        <f t="shared" si="37"/>
        <v/>
      </c>
      <c r="AV83" s="57" t="str" cm="1">
        <f t="array" ref="AV83">IF(AU83&lt;&gt;"", ToGrade(AU83), "")</f>
        <v/>
      </c>
      <c r="AW83" s="58" t="str">
        <f>COMPUTING!L85</f>
        <v/>
      </c>
      <c r="AX83" s="59" t="str" cm="1">
        <f t="array" ref="AX83">IF(AU83&lt;&gt;"", ToRemark(AU83), "")</f>
        <v/>
      </c>
      <c r="AY83" s="62"/>
      <c r="AZ83" s="57" t="str">
        <f>IFERROR(ROUND(HISTERY!H85,0), "")</f>
        <v/>
      </c>
      <c r="BA83" s="57" t="str">
        <f>IFERROR(ROUND(HISTERY!J85,0), "")</f>
        <v/>
      </c>
      <c r="BB83" s="56" t="str">
        <f t="shared" si="38"/>
        <v/>
      </c>
      <c r="BC83" s="57" t="str" cm="1">
        <f t="array" ref="BC83">IF(BB83&lt;&gt;"", ToGrade(BB83), "")</f>
        <v/>
      </c>
      <c r="BD83" s="58" t="str">
        <f>HISTERY!L85</f>
        <v/>
      </c>
      <c r="BE83" s="59" t="str" cm="1">
        <f t="array" ref="BE83">IF(BB83&lt;&gt;"", ToRemark(BB83), "")</f>
        <v/>
      </c>
      <c r="BF83" s="60"/>
      <c r="BG83" s="57" t="str">
        <f>IFERROR(ROUND(RME!H85,0), "")</f>
        <v/>
      </c>
      <c r="BH83" s="57" t="str">
        <f>IFERROR(ROUND(RME!J85,0), "")</f>
        <v/>
      </c>
      <c r="BI83" s="56" t="str">
        <f t="shared" si="39"/>
        <v/>
      </c>
      <c r="BJ83" s="57" t="str" cm="1">
        <f t="array" ref="BJ83">IF(BI83&lt;&gt;"", ToGrade(BI83), "")</f>
        <v/>
      </c>
      <c r="BK83" s="58" t="str">
        <f>RME!L85</f>
        <v/>
      </c>
      <c r="BL83" s="59" t="str" cm="1">
        <f t="array" ref="BL83">IF(BI83&lt;&gt;"", ToRemark(BI83), "")</f>
        <v/>
      </c>
      <c r="BM83" s="74"/>
      <c r="BN83" s="97" t="str">
        <f t="shared" si="40"/>
        <v/>
      </c>
      <c r="BO83" s="106" t="str">
        <f t="shared" si="41"/>
        <v/>
      </c>
      <c r="BP83" s="98" t="str" cm="1">
        <f t="array" ref="BP83">IFERROR(OrdinalNumber(_xlfn.RANK.EQ(BN83,$BN$3:$BN$101)), "")</f>
        <v/>
      </c>
      <c r="BQ83" s="104"/>
      <c r="BR83" s="99"/>
      <c r="BS83" s="111"/>
      <c r="BT83" s="83" t="str" cm="1">
        <f t="array" ref="BT83">IF(LEN(B83)&lt;&gt;0, GetTeacherRemark(BO83), "")</f>
        <v/>
      </c>
      <c r="BU83" s="86" t="str">
        <f t="shared" si="25"/>
        <v/>
      </c>
      <c r="BV83" s="86" t="str">
        <f t="shared" si="26"/>
        <v/>
      </c>
      <c r="BW83" s="86" t="str">
        <f t="shared" si="27"/>
        <v/>
      </c>
      <c r="BX83" s="86" t="str">
        <f t="shared" si="42"/>
        <v/>
      </c>
      <c r="BY83" s="115" t="str">
        <f t="shared" si="28"/>
        <v/>
      </c>
      <c r="BZ83" s="87" t="str">
        <f t="shared" si="29"/>
        <v/>
      </c>
      <c r="CA83" s="86" t="str">
        <f t="shared" si="30"/>
        <v/>
      </c>
      <c r="CB83" s="85"/>
    </row>
    <row r="84" spans="1:80" x14ac:dyDescent="0.25">
      <c r="A84" s="53" t="str">
        <v>82</v>
      </c>
      <c r="B84" s="54" t="str">
        <v/>
      </c>
      <c r="C84" s="55" t="str">
        <f>IFERROR(ROUND(ENGLISH!H86,0), "")</f>
        <v/>
      </c>
      <c r="D84" s="55" t="str">
        <f>IFERROR(ROUND(ENGLISH!J86,0), "")</f>
        <v/>
      </c>
      <c r="E84" s="56" t="str">
        <f t="shared" si="31"/>
        <v/>
      </c>
      <c r="F84" s="57" t="str" cm="1">
        <f t="array" ref="F84">IF(E84&lt;&gt;"", ToGrade(E84), "")</f>
        <v/>
      </c>
      <c r="G84" s="58" t="str">
        <f>ENGLISH!L86</f>
        <v/>
      </c>
      <c r="H84" s="59" t="str" cm="1">
        <f t="array" ref="H84">IF(E84&lt;&gt;"", ToRemark(E84), "")</f>
        <v/>
      </c>
      <c r="I84" s="60"/>
      <c r="J84" s="55" t="str">
        <f>IFERROR(ROUND(MATHS!H86,0), "")</f>
        <v/>
      </c>
      <c r="K84" s="55" t="str">
        <f>IFERROR(ROUND(MATHS!J86,0), "")</f>
        <v/>
      </c>
      <c r="L84" s="56" t="str">
        <f t="shared" si="32"/>
        <v/>
      </c>
      <c r="M84" s="57" t="str" cm="1">
        <f t="array" ref="M84">IF(L84&lt;&gt;"", ToGrade(L84), "")</f>
        <v/>
      </c>
      <c r="N84" s="58" t="str">
        <f>MATHS!L86</f>
        <v/>
      </c>
      <c r="O84" s="59" t="str" cm="1">
        <f t="array" ref="O84">IF(L84&lt;&gt;"", ToRemark(L84), "")</f>
        <v/>
      </c>
      <c r="P84" s="60"/>
      <c r="Q84" s="57" t="str">
        <f>IFERROR(ROUND(SCIENCE!H86,0), "")</f>
        <v/>
      </c>
      <c r="R84" s="57" t="str">
        <f>IFERROR(ROUND(SCIENCE!J86,0), "")</f>
        <v/>
      </c>
      <c r="S84" s="56" t="str">
        <f t="shared" si="33"/>
        <v/>
      </c>
      <c r="T84" s="57" t="str" cm="1">
        <f t="array" ref="T84">IF(S84&lt;&gt;"", ToGrade(S84), "")</f>
        <v/>
      </c>
      <c r="U84" s="58" t="str">
        <f>SCIENCE!L86</f>
        <v/>
      </c>
      <c r="V84" s="59" t="str" cm="1">
        <f t="array" ref="V84">IF(S84&lt;&gt;"", ToRemark(S84), "")</f>
        <v/>
      </c>
      <c r="W84" s="60"/>
      <c r="X84" s="57" t="str">
        <f>IFERROR(ROUND(OWOP!H86,0), "")</f>
        <v/>
      </c>
      <c r="Y84" s="57" t="str">
        <f>IFERROR(ROUND(OWOP!J86,0), "")</f>
        <v/>
      </c>
      <c r="Z84" s="56" t="str">
        <f t="shared" si="34"/>
        <v/>
      </c>
      <c r="AA84" s="57" t="str" cm="1">
        <f t="array" ref="AA84">IF(Z84&lt;&gt;"", ToGrade(Z84), "")</f>
        <v/>
      </c>
      <c r="AB84" s="58" t="str">
        <f>OWOP!L86</f>
        <v/>
      </c>
      <c r="AC84" s="59" t="str" cm="1">
        <f t="array" ref="AC84">IF(Z84&lt;&gt;"", ToRemark(Z84), "")</f>
        <v/>
      </c>
      <c r="AD84" s="60"/>
      <c r="AE84" s="57" t="str">
        <f>IFERROR(ROUND('C ARTS'!H86,0), "")</f>
        <v/>
      </c>
      <c r="AF84" s="57" t="str">
        <f>IFERROR(ROUND('C ARTS'!J86,0), "")</f>
        <v/>
      </c>
      <c r="AG84" s="56" t="str">
        <f t="shared" si="35"/>
        <v/>
      </c>
      <c r="AH84" s="57" t="str" cm="1">
        <f t="array" ref="AH84">IF(AG84&lt;&gt;"", ToGrade(AG84), "")</f>
        <v/>
      </c>
      <c r="AI84" s="58" t="str">
        <f>'C ARTS'!L86</f>
        <v/>
      </c>
      <c r="AJ84" s="59" t="str" cm="1">
        <f t="array" ref="AJ84">IF(AG84&lt;&gt;"", ToRemark(AG84), "")</f>
        <v/>
      </c>
      <c r="AK84" s="60"/>
      <c r="AL84" s="57" t="str">
        <f>IFERROR(ROUND('GH LANG'!H86,0), "")</f>
        <v/>
      </c>
      <c r="AM84" s="57" t="str">
        <f>IFERROR(ROUND('GH LANG'!J86,0), "")</f>
        <v/>
      </c>
      <c r="AN84" s="61" t="str">
        <f t="shared" si="36"/>
        <v/>
      </c>
      <c r="AO84" s="57" t="str" cm="1">
        <f t="array" ref="AO84">IF(AN84&lt;&gt;"", ToGrade(AN84), "")</f>
        <v/>
      </c>
      <c r="AP84" s="58" t="str">
        <f>'GH LANG'!L86</f>
        <v/>
      </c>
      <c r="AQ84" s="59" t="str" cm="1">
        <f t="array" ref="AQ84">IF(AN84&lt;&gt;"", ToRemark(AN84), "")</f>
        <v/>
      </c>
      <c r="AR84" s="60"/>
      <c r="AS84" s="57" t="str">
        <f>IFERROR(ROUND(COMPUTING!H86,0), "")</f>
        <v/>
      </c>
      <c r="AT84" s="57" t="str">
        <f>IFERROR(ROUND(COMPUTING!J86,0), "")</f>
        <v/>
      </c>
      <c r="AU84" s="56" t="str">
        <f t="shared" si="37"/>
        <v/>
      </c>
      <c r="AV84" s="57" t="str" cm="1">
        <f t="array" ref="AV84">IF(AU84&lt;&gt;"", ToGrade(AU84), "")</f>
        <v/>
      </c>
      <c r="AW84" s="58" t="str">
        <f>COMPUTING!L86</f>
        <v/>
      </c>
      <c r="AX84" s="59" t="str" cm="1">
        <f t="array" ref="AX84">IF(AU84&lt;&gt;"", ToRemark(AU84), "")</f>
        <v/>
      </c>
      <c r="AY84" s="62"/>
      <c r="AZ84" s="57" t="str">
        <f>IFERROR(ROUND(HISTERY!H86,0), "")</f>
        <v/>
      </c>
      <c r="BA84" s="57" t="str">
        <f>IFERROR(ROUND(HISTERY!J86,0), "")</f>
        <v/>
      </c>
      <c r="BB84" s="56" t="str">
        <f t="shared" si="38"/>
        <v/>
      </c>
      <c r="BC84" s="57" t="str" cm="1">
        <f t="array" ref="BC84">IF(BB84&lt;&gt;"", ToGrade(BB84), "")</f>
        <v/>
      </c>
      <c r="BD84" s="58" t="str">
        <f>HISTERY!L86</f>
        <v/>
      </c>
      <c r="BE84" s="59" t="str" cm="1">
        <f t="array" ref="BE84">IF(BB84&lt;&gt;"", ToRemark(BB84), "")</f>
        <v/>
      </c>
      <c r="BF84" s="60"/>
      <c r="BG84" s="57" t="str">
        <f>IFERROR(ROUND(RME!H86,0), "")</f>
        <v/>
      </c>
      <c r="BH84" s="57" t="str">
        <f>IFERROR(ROUND(RME!J86,0), "")</f>
        <v/>
      </c>
      <c r="BI84" s="56" t="str">
        <f t="shared" si="39"/>
        <v/>
      </c>
      <c r="BJ84" s="57" t="str" cm="1">
        <f t="array" ref="BJ84">IF(BI84&lt;&gt;"", ToGrade(BI84), "")</f>
        <v/>
      </c>
      <c r="BK84" s="58" t="str">
        <f>RME!L86</f>
        <v/>
      </c>
      <c r="BL84" s="59" t="str" cm="1">
        <f t="array" ref="BL84">IF(BI84&lt;&gt;"", ToRemark(BI84), "")</f>
        <v/>
      </c>
      <c r="BM84" s="74"/>
      <c r="BN84" s="97" t="str">
        <f t="shared" si="40"/>
        <v/>
      </c>
      <c r="BO84" s="106" t="str">
        <f t="shared" si="41"/>
        <v/>
      </c>
      <c r="BP84" s="98" t="str" cm="1">
        <f t="array" ref="BP84">IFERROR(OrdinalNumber(_xlfn.RANK.EQ(BN84,$BN$3:$BN$101)), "")</f>
        <v/>
      </c>
      <c r="BQ84" s="104"/>
      <c r="BR84" s="99"/>
      <c r="BS84" s="111"/>
      <c r="BT84" s="83" t="str" cm="1">
        <f t="array" ref="BT84">IF(LEN(B84)&lt;&gt;0, GetTeacherRemark(BO84), "")</f>
        <v/>
      </c>
      <c r="BU84" s="86" t="str">
        <f t="shared" si="25"/>
        <v/>
      </c>
      <c r="BV84" s="86" t="str">
        <f t="shared" si="26"/>
        <v/>
      </c>
      <c r="BW84" s="86" t="str">
        <f t="shared" si="27"/>
        <v/>
      </c>
      <c r="BX84" s="86" t="str">
        <f t="shared" si="42"/>
        <v/>
      </c>
      <c r="BY84" s="115" t="str">
        <f t="shared" si="28"/>
        <v/>
      </c>
      <c r="BZ84" s="87" t="str">
        <f t="shared" si="29"/>
        <v/>
      </c>
      <c r="CA84" s="86" t="str">
        <f t="shared" si="30"/>
        <v/>
      </c>
      <c r="CB84" s="85"/>
    </row>
    <row r="85" spans="1:80" x14ac:dyDescent="0.25">
      <c r="A85" s="53" t="str">
        <v>83</v>
      </c>
      <c r="B85" s="54" t="str">
        <v/>
      </c>
      <c r="C85" s="55" t="str">
        <f>IFERROR(ROUND(ENGLISH!H87,0), "")</f>
        <v/>
      </c>
      <c r="D85" s="55" t="str">
        <f>IFERROR(ROUND(ENGLISH!J87,0), "")</f>
        <v/>
      </c>
      <c r="E85" s="56" t="str">
        <f t="shared" si="31"/>
        <v/>
      </c>
      <c r="F85" s="57" t="str" cm="1">
        <f t="array" ref="F85">IF(E85&lt;&gt;"", ToGrade(E85), "")</f>
        <v/>
      </c>
      <c r="G85" s="58" t="str">
        <f>ENGLISH!L87</f>
        <v/>
      </c>
      <c r="H85" s="59" t="str" cm="1">
        <f t="array" ref="H85">IF(E85&lt;&gt;"", ToRemark(E85), "")</f>
        <v/>
      </c>
      <c r="I85" s="60"/>
      <c r="J85" s="55" t="str">
        <f>IFERROR(ROUND(MATHS!H87,0), "")</f>
        <v/>
      </c>
      <c r="K85" s="55" t="str">
        <f>IFERROR(ROUND(MATHS!J87,0), "")</f>
        <v/>
      </c>
      <c r="L85" s="56" t="str">
        <f t="shared" si="32"/>
        <v/>
      </c>
      <c r="M85" s="57" t="str" cm="1">
        <f t="array" ref="M85">IF(L85&lt;&gt;"", ToGrade(L85), "")</f>
        <v/>
      </c>
      <c r="N85" s="58" t="str">
        <f>MATHS!L87</f>
        <v/>
      </c>
      <c r="O85" s="59" t="str" cm="1">
        <f t="array" ref="O85">IF(L85&lt;&gt;"", ToRemark(L85), "")</f>
        <v/>
      </c>
      <c r="P85" s="60"/>
      <c r="Q85" s="57" t="str">
        <f>IFERROR(ROUND(SCIENCE!H87,0), "")</f>
        <v/>
      </c>
      <c r="R85" s="57" t="str">
        <f>IFERROR(ROUND(SCIENCE!J87,0), "")</f>
        <v/>
      </c>
      <c r="S85" s="56" t="str">
        <f t="shared" si="33"/>
        <v/>
      </c>
      <c r="T85" s="57" t="str" cm="1">
        <f t="array" ref="T85">IF(S85&lt;&gt;"", ToGrade(S85), "")</f>
        <v/>
      </c>
      <c r="U85" s="58" t="str">
        <f>SCIENCE!L87</f>
        <v/>
      </c>
      <c r="V85" s="59" t="str" cm="1">
        <f t="array" ref="V85">IF(S85&lt;&gt;"", ToRemark(S85), "")</f>
        <v/>
      </c>
      <c r="W85" s="60"/>
      <c r="X85" s="57" t="str">
        <f>IFERROR(ROUND(OWOP!H87,0), "")</f>
        <v/>
      </c>
      <c r="Y85" s="57" t="str">
        <f>IFERROR(ROUND(OWOP!J87,0), "")</f>
        <v/>
      </c>
      <c r="Z85" s="56" t="str">
        <f t="shared" si="34"/>
        <v/>
      </c>
      <c r="AA85" s="57" t="str" cm="1">
        <f t="array" ref="AA85">IF(Z85&lt;&gt;"", ToGrade(Z85), "")</f>
        <v/>
      </c>
      <c r="AB85" s="58" t="str">
        <f>OWOP!L87</f>
        <v/>
      </c>
      <c r="AC85" s="59" t="str" cm="1">
        <f t="array" ref="AC85">IF(Z85&lt;&gt;"", ToRemark(Z85), "")</f>
        <v/>
      </c>
      <c r="AD85" s="60"/>
      <c r="AE85" s="57" t="str">
        <f>IFERROR(ROUND('C ARTS'!H87,0), "")</f>
        <v/>
      </c>
      <c r="AF85" s="57" t="str">
        <f>IFERROR(ROUND('C ARTS'!J87,0), "")</f>
        <v/>
      </c>
      <c r="AG85" s="56" t="str">
        <f t="shared" si="35"/>
        <v/>
      </c>
      <c r="AH85" s="57" t="str" cm="1">
        <f t="array" ref="AH85">IF(AG85&lt;&gt;"", ToGrade(AG85), "")</f>
        <v/>
      </c>
      <c r="AI85" s="58" t="str">
        <f>'C ARTS'!L87</f>
        <v/>
      </c>
      <c r="AJ85" s="59" t="str" cm="1">
        <f t="array" ref="AJ85">IF(AG85&lt;&gt;"", ToRemark(AG85), "")</f>
        <v/>
      </c>
      <c r="AK85" s="60"/>
      <c r="AL85" s="57" t="str">
        <f>IFERROR(ROUND('GH LANG'!H87,0), "")</f>
        <v/>
      </c>
      <c r="AM85" s="57" t="str">
        <f>IFERROR(ROUND('GH LANG'!J87,0), "")</f>
        <v/>
      </c>
      <c r="AN85" s="61" t="str">
        <f t="shared" si="36"/>
        <v/>
      </c>
      <c r="AO85" s="57" t="str" cm="1">
        <f t="array" ref="AO85">IF(AN85&lt;&gt;"", ToGrade(AN85), "")</f>
        <v/>
      </c>
      <c r="AP85" s="58" t="str">
        <f>'GH LANG'!L87</f>
        <v/>
      </c>
      <c r="AQ85" s="59" t="str" cm="1">
        <f t="array" ref="AQ85">IF(AN85&lt;&gt;"", ToRemark(AN85), "")</f>
        <v/>
      </c>
      <c r="AR85" s="60"/>
      <c r="AS85" s="57" t="str">
        <f>IFERROR(ROUND(COMPUTING!H87,0), "")</f>
        <v/>
      </c>
      <c r="AT85" s="57" t="str">
        <f>IFERROR(ROUND(COMPUTING!J87,0), "")</f>
        <v/>
      </c>
      <c r="AU85" s="56" t="str">
        <f t="shared" si="37"/>
        <v/>
      </c>
      <c r="AV85" s="57" t="str" cm="1">
        <f t="array" ref="AV85">IF(AU85&lt;&gt;"", ToGrade(AU85), "")</f>
        <v/>
      </c>
      <c r="AW85" s="58" t="str">
        <f>COMPUTING!L87</f>
        <v/>
      </c>
      <c r="AX85" s="59" t="str" cm="1">
        <f t="array" ref="AX85">IF(AU85&lt;&gt;"", ToRemark(AU85), "")</f>
        <v/>
      </c>
      <c r="AY85" s="62"/>
      <c r="AZ85" s="57" t="str">
        <f>IFERROR(ROUND(HISTERY!H87,0), "")</f>
        <v/>
      </c>
      <c r="BA85" s="57" t="str">
        <f>IFERROR(ROUND(HISTERY!J87,0), "")</f>
        <v/>
      </c>
      <c r="BB85" s="56" t="str">
        <f t="shared" si="38"/>
        <v/>
      </c>
      <c r="BC85" s="57" t="str" cm="1">
        <f t="array" ref="BC85">IF(BB85&lt;&gt;"", ToGrade(BB85), "")</f>
        <v/>
      </c>
      <c r="BD85" s="58" t="str">
        <f>HISTERY!L87</f>
        <v/>
      </c>
      <c r="BE85" s="59" t="str" cm="1">
        <f t="array" ref="BE85">IF(BB85&lt;&gt;"", ToRemark(BB85), "")</f>
        <v/>
      </c>
      <c r="BF85" s="60"/>
      <c r="BG85" s="57" t="str">
        <f>IFERROR(ROUND(RME!H87,0), "")</f>
        <v/>
      </c>
      <c r="BH85" s="57" t="str">
        <f>IFERROR(ROUND(RME!J87,0), "")</f>
        <v/>
      </c>
      <c r="BI85" s="56" t="str">
        <f t="shared" si="39"/>
        <v/>
      </c>
      <c r="BJ85" s="57" t="str" cm="1">
        <f t="array" ref="BJ85">IF(BI85&lt;&gt;"", ToGrade(BI85), "")</f>
        <v/>
      </c>
      <c r="BK85" s="58" t="str">
        <f>RME!L87</f>
        <v/>
      </c>
      <c r="BL85" s="59" t="str" cm="1">
        <f t="array" ref="BL85">IF(BI85&lt;&gt;"", ToRemark(BI85), "")</f>
        <v/>
      </c>
      <c r="BM85" s="74"/>
      <c r="BN85" s="97" t="str">
        <f t="shared" si="40"/>
        <v/>
      </c>
      <c r="BO85" s="106" t="str">
        <f t="shared" si="41"/>
        <v/>
      </c>
      <c r="BP85" s="98" t="str" cm="1">
        <f t="array" ref="BP85">IFERROR(OrdinalNumber(_xlfn.RANK.EQ(BN85,$BN$3:$BN$101)), "")</f>
        <v/>
      </c>
      <c r="BQ85" s="104"/>
      <c r="BR85" s="99"/>
      <c r="BS85" s="111"/>
      <c r="BT85" s="83" t="str" cm="1">
        <f t="array" ref="BT85">IF(LEN(B85)&lt;&gt;0, GetTeacherRemark(BO85), "")</f>
        <v/>
      </c>
      <c r="BU85" s="86" t="str">
        <f t="shared" si="25"/>
        <v/>
      </c>
      <c r="BV85" s="86" t="str">
        <f t="shared" si="26"/>
        <v/>
      </c>
      <c r="BW85" s="86" t="str">
        <f t="shared" si="27"/>
        <v/>
      </c>
      <c r="BX85" s="86" t="str">
        <f t="shared" si="42"/>
        <v/>
      </c>
      <c r="BY85" s="115" t="str">
        <f t="shared" si="28"/>
        <v/>
      </c>
      <c r="BZ85" s="87" t="str">
        <f t="shared" si="29"/>
        <v/>
      </c>
      <c r="CA85" s="86" t="str">
        <f t="shared" si="30"/>
        <v/>
      </c>
      <c r="CB85" s="85"/>
    </row>
    <row r="86" spans="1:80" x14ac:dyDescent="0.25">
      <c r="A86" s="53" t="str">
        <v>84</v>
      </c>
      <c r="B86" s="54" t="str">
        <v/>
      </c>
      <c r="C86" s="55" t="str">
        <f>IFERROR(ROUND(ENGLISH!H88,0), "")</f>
        <v/>
      </c>
      <c r="D86" s="55" t="str">
        <f>IFERROR(ROUND(ENGLISH!J88,0), "")</f>
        <v/>
      </c>
      <c r="E86" s="56" t="str">
        <f t="shared" si="31"/>
        <v/>
      </c>
      <c r="F86" s="57" t="str" cm="1">
        <f t="array" ref="F86">IF(E86&lt;&gt;"", ToGrade(E86), "")</f>
        <v/>
      </c>
      <c r="G86" s="58" t="str">
        <f>ENGLISH!L88</f>
        <v/>
      </c>
      <c r="H86" s="59" t="str" cm="1">
        <f t="array" ref="H86">IF(E86&lt;&gt;"", ToRemark(E86), "")</f>
        <v/>
      </c>
      <c r="I86" s="60"/>
      <c r="J86" s="55" t="str">
        <f>IFERROR(ROUND(MATHS!H88,0), "")</f>
        <v/>
      </c>
      <c r="K86" s="55" t="str">
        <f>IFERROR(ROUND(MATHS!J88,0), "")</f>
        <v/>
      </c>
      <c r="L86" s="56" t="str">
        <f t="shared" si="32"/>
        <v/>
      </c>
      <c r="M86" s="57" t="str" cm="1">
        <f t="array" ref="M86">IF(L86&lt;&gt;"", ToGrade(L86), "")</f>
        <v/>
      </c>
      <c r="N86" s="58" t="str">
        <f>MATHS!L88</f>
        <v/>
      </c>
      <c r="O86" s="59" t="str" cm="1">
        <f t="array" ref="O86">IF(L86&lt;&gt;"", ToRemark(L86), "")</f>
        <v/>
      </c>
      <c r="P86" s="60"/>
      <c r="Q86" s="57" t="str">
        <f>IFERROR(ROUND(SCIENCE!H88,0), "")</f>
        <v/>
      </c>
      <c r="R86" s="57" t="str">
        <f>IFERROR(ROUND(SCIENCE!J88,0), "")</f>
        <v/>
      </c>
      <c r="S86" s="56" t="str">
        <f t="shared" si="33"/>
        <v/>
      </c>
      <c r="T86" s="57" t="str" cm="1">
        <f t="array" ref="T86">IF(S86&lt;&gt;"", ToGrade(S86), "")</f>
        <v/>
      </c>
      <c r="U86" s="58" t="str">
        <f>SCIENCE!L88</f>
        <v/>
      </c>
      <c r="V86" s="59" t="str" cm="1">
        <f t="array" ref="V86">IF(S86&lt;&gt;"", ToRemark(S86), "")</f>
        <v/>
      </c>
      <c r="W86" s="60"/>
      <c r="X86" s="57" t="str">
        <f>IFERROR(ROUND(OWOP!H88,0), "")</f>
        <v/>
      </c>
      <c r="Y86" s="57" t="str">
        <f>IFERROR(ROUND(OWOP!J88,0), "")</f>
        <v/>
      </c>
      <c r="Z86" s="56" t="str">
        <f t="shared" si="34"/>
        <v/>
      </c>
      <c r="AA86" s="57" t="str" cm="1">
        <f t="array" ref="AA86">IF(Z86&lt;&gt;"", ToGrade(Z86), "")</f>
        <v/>
      </c>
      <c r="AB86" s="58" t="str">
        <f>OWOP!L88</f>
        <v/>
      </c>
      <c r="AC86" s="59" t="str" cm="1">
        <f t="array" ref="AC86">IF(Z86&lt;&gt;"", ToRemark(Z86), "")</f>
        <v/>
      </c>
      <c r="AD86" s="60"/>
      <c r="AE86" s="57" t="str">
        <f>IFERROR(ROUND('C ARTS'!H88,0), "")</f>
        <v/>
      </c>
      <c r="AF86" s="57" t="str">
        <f>IFERROR(ROUND('C ARTS'!J88,0), "")</f>
        <v/>
      </c>
      <c r="AG86" s="56" t="str">
        <f t="shared" si="35"/>
        <v/>
      </c>
      <c r="AH86" s="57" t="str" cm="1">
        <f t="array" ref="AH86">IF(AG86&lt;&gt;"", ToGrade(AG86), "")</f>
        <v/>
      </c>
      <c r="AI86" s="58" t="str">
        <f>'C ARTS'!L88</f>
        <v/>
      </c>
      <c r="AJ86" s="59" t="str" cm="1">
        <f t="array" ref="AJ86">IF(AG86&lt;&gt;"", ToRemark(AG86), "")</f>
        <v/>
      </c>
      <c r="AK86" s="60"/>
      <c r="AL86" s="57" t="str">
        <f>IFERROR(ROUND('GH LANG'!H88,0), "")</f>
        <v/>
      </c>
      <c r="AM86" s="57" t="str">
        <f>IFERROR(ROUND('GH LANG'!J88,0), "")</f>
        <v/>
      </c>
      <c r="AN86" s="61" t="str">
        <f t="shared" si="36"/>
        <v/>
      </c>
      <c r="AO86" s="57" t="str" cm="1">
        <f t="array" ref="AO86">IF(AN86&lt;&gt;"", ToGrade(AN86), "")</f>
        <v/>
      </c>
      <c r="AP86" s="58" t="str">
        <f>'GH LANG'!L88</f>
        <v/>
      </c>
      <c r="AQ86" s="59" t="str" cm="1">
        <f t="array" ref="AQ86">IF(AN86&lt;&gt;"", ToRemark(AN86), "")</f>
        <v/>
      </c>
      <c r="AR86" s="60"/>
      <c r="AS86" s="57" t="str">
        <f>IFERROR(ROUND(COMPUTING!H88,0), "")</f>
        <v/>
      </c>
      <c r="AT86" s="57" t="str">
        <f>IFERROR(ROUND(COMPUTING!J88,0), "")</f>
        <v/>
      </c>
      <c r="AU86" s="56" t="str">
        <f t="shared" si="37"/>
        <v/>
      </c>
      <c r="AV86" s="57" t="str" cm="1">
        <f t="array" ref="AV86">IF(AU86&lt;&gt;"", ToGrade(AU86), "")</f>
        <v/>
      </c>
      <c r="AW86" s="58" t="str">
        <f>COMPUTING!L88</f>
        <v/>
      </c>
      <c r="AX86" s="59" t="str" cm="1">
        <f t="array" ref="AX86">IF(AU86&lt;&gt;"", ToRemark(AU86), "")</f>
        <v/>
      </c>
      <c r="AY86" s="62"/>
      <c r="AZ86" s="57" t="str">
        <f>IFERROR(ROUND(HISTERY!H88,0), "")</f>
        <v/>
      </c>
      <c r="BA86" s="57" t="str">
        <f>IFERROR(ROUND(HISTERY!J88,0), "")</f>
        <v/>
      </c>
      <c r="BB86" s="56" t="str">
        <f t="shared" si="38"/>
        <v/>
      </c>
      <c r="BC86" s="57" t="str" cm="1">
        <f t="array" ref="BC86">IF(BB86&lt;&gt;"", ToGrade(BB86), "")</f>
        <v/>
      </c>
      <c r="BD86" s="58" t="str">
        <f>HISTERY!L88</f>
        <v/>
      </c>
      <c r="BE86" s="59" t="str" cm="1">
        <f t="array" ref="BE86">IF(BB86&lt;&gt;"", ToRemark(BB86), "")</f>
        <v/>
      </c>
      <c r="BF86" s="60"/>
      <c r="BG86" s="57" t="str">
        <f>IFERROR(ROUND(RME!H88,0), "")</f>
        <v/>
      </c>
      <c r="BH86" s="57" t="str">
        <f>IFERROR(ROUND(RME!J88,0), "")</f>
        <v/>
      </c>
      <c r="BI86" s="56" t="str">
        <f t="shared" si="39"/>
        <v/>
      </c>
      <c r="BJ86" s="57" t="str" cm="1">
        <f t="array" ref="BJ86">IF(BI86&lt;&gt;"", ToGrade(BI86), "")</f>
        <v/>
      </c>
      <c r="BK86" s="58" t="str">
        <f>RME!L88</f>
        <v/>
      </c>
      <c r="BL86" s="59" t="str" cm="1">
        <f t="array" ref="BL86">IF(BI86&lt;&gt;"", ToRemark(BI86), "")</f>
        <v/>
      </c>
      <c r="BM86" s="74"/>
      <c r="BN86" s="97" t="str">
        <f t="shared" si="40"/>
        <v/>
      </c>
      <c r="BO86" s="106" t="str">
        <f t="shared" si="41"/>
        <v/>
      </c>
      <c r="BP86" s="98" t="str" cm="1">
        <f t="array" ref="BP86">IFERROR(OrdinalNumber(_xlfn.RANK.EQ(BN86,$BN$3:$BN$101)), "")</f>
        <v/>
      </c>
      <c r="BQ86" s="104"/>
      <c r="BR86" s="99"/>
      <c r="BS86" s="111"/>
      <c r="BT86" s="83" t="str" cm="1">
        <f t="array" ref="BT86">IF(LEN(B86)&lt;&gt;0, GetTeacherRemark(BO86), "")</f>
        <v/>
      </c>
      <c r="BU86" s="86" t="str">
        <f t="shared" si="25"/>
        <v/>
      </c>
      <c r="BV86" s="86" t="str">
        <f t="shared" si="26"/>
        <v/>
      </c>
      <c r="BW86" s="86" t="str">
        <f t="shared" si="27"/>
        <v/>
      </c>
      <c r="BX86" s="86" t="str">
        <f t="shared" si="42"/>
        <v/>
      </c>
      <c r="BY86" s="115" t="str">
        <f t="shared" si="28"/>
        <v/>
      </c>
      <c r="BZ86" s="87" t="str">
        <f t="shared" si="29"/>
        <v/>
      </c>
      <c r="CA86" s="86" t="str">
        <f t="shared" si="30"/>
        <v/>
      </c>
      <c r="CB86" s="85"/>
    </row>
    <row r="87" spans="1:80" x14ac:dyDescent="0.25">
      <c r="A87" s="53" t="str">
        <v>85</v>
      </c>
      <c r="B87" s="54" t="str">
        <v/>
      </c>
      <c r="C87" s="55" t="str">
        <f>IFERROR(ROUND(ENGLISH!H89,0), "")</f>
        <v/>
      </c>
      <c r="D87" s="55" t="str">
        <f>IFERROR(ROUND(ENGLISH!J89,0), "")</f>
        <v/>
      </c>
      <c r="E87" s="56" t="str">
        <f t="shared" si="31"/>
        <v/>
      </c>
      <c r="F87" s="57" t="str" cm="1">
        <f t="array" ref="F87">IF(E87&lt;&gt;"", ToGrade(E87), "")</f>
        <v/>
      </c>
      <c r="G87" s="58" t="str">
        <f>ENGLISH!L89</f>
        <v/>
      </c>
      <c r="H87" s="59" t="str" cm="1">
        <f t="array" ref="H87">IF(E87&lt;&gt;"", ToRemark(E87), "")</f>
        <v/>
      </c>
      <c r="I87" s="60"/>
      <c r="J87" s="55" t="str">
        <f>IFERROR(ROUND(MATHS!H89,0), "")</f>
        <v/>
      </c>
      <c r="K87" s="55" t="str">
        <f>IFERROR(ROUND(MATHS!J89,0), "")</f>
        <v/>
      </c>
      <c r="L87" s="56" t="str">
        <f t="shared" si="32"/>
        <v/>
      </c>
      <c r="M87" s="57" t="str" cm="1">
        <f t="array" ref="M87">IF(L87&lt;&gt;"", ToGrade(L87), "")</f>
        <v/>
      </c>
      <c r="N87" s="58" t="str">
        <f>MATHS!L89</f>
        <v/>
      </c>
      <c r="O87" s="59" t="str" cm="1">
        <f t="array" ref="O87">IF(L87&lt;&gt;"", ToRemark(L87), "")</f>
        <v/>
      </c>
      <c r="P87" s="60"/>
      <c r="Q87" s="57" t="str">
        <f>IFERROR(ROUND(SCIENCE!H89,0), "")</f>
        <v/>
      </c>
      <c r="R87" s="57" t="str">
        <f>IFERROR(ROUND(SCIENCE!J89,0), "")</f>
        <v/>
      </c>
      <c r="S87" s="56" t="str">
        <f t="shared" si="33"/>
        <v/>
      </c>
      <c r="T87" s="57" t="str" cm="1">
        <f t="array" ref="T87">IF(S87&lt;&gt;"", ToGrade(S87), "")</f>
        <v/>
      </c>
      <c r="U87" s="58" t="str">
        <f>SCIENCE!L89</f>
        <v/>
      </c>
      <c r="V87" s="59" t="str" cm="1">
        <f t="array" ref="V87">IF(S87&lt;&gt;"", ToRemark(S87), "")</f>
        <v/>
      </c>
      <c r="W87" s="60"/>
      <c r="X87" s="57" t="str">
        <f>IFERROR(ROUND(OWOP!H89,0), "")</f>
        <v/>
      </c>
      <c r="Y87" s="57" t="str">
        <f>IFERROR(ROUND(OWOP!J89,0), "")</f>
        <v/>
      </c>
      <c r="Z87" s="56" t="str">
        <f t="shared" si="34"/>
        <v/>
      </c>
      <c r="AA87" s="57" t="str" cm="1">
        <f t="array" ref="AA87">IF(Z87&lt;&gt;"", ToGrade(Z87), "")</f>
        <v/>
      </c>
      <c r="AB87" s="58" t="str">
        <f>OWOP!L89</f>
        <v/>
      </c>
      <c r="AC87" s="59" t="str" cm="1">
        <f t="array" ref="AC87">IF(Z87&lt;&gt;"", ToRemark(Z87), "")</f>
        <v/>
      </c>
      <c r="AD87" s="60"/>
      <c r="AE87" s="57" t="str">
        <f>IFERROR(ROUND('C ARTS'!H89,0), "")</f>
        <v/>
      </c>
      <c r="AF87" s="57" t="str">
        <f>IFERROR(ROUND('C ARTS'!J89,0), "")</f>
        <v/>
      </c>
      <c r="AG87" s="56" t="str">
        <f t="shared" si="35"/>
        <v/>
      </c>
      <c r="AH87" s="57" t="str" cm="1">
        <f t="array" ref="AH87">IF(AG87&lt;&gt;"", ToGrade(AG87), "")</f>
        <v/>
      </c>
      <c r="AI87" s="58" t="str">
        <f>'C ARTS'!L89</f>
        <v/>
      </c>
      <c r="AJ87" s="59" t="str" cm="1">
        <f t="array" ref="AJ87">IF(AG87&lt;&gt;"", ToRemark(AG87), "")</f>
        <v/>
      </c>
      <c r="AK87" s="60"/>
      <c r="AL87" s="57" t="str">
        <f>IFERROR(ROUND('GH LANG'!H89,0), "")</f>
        <v/>
      </c>
      <c r="AM87" s="57" t="str">
        <f>IFERROR(ROUND('GH LANG'!J89,0), "")</f>
        <v/>
      </c>
      <c r="AN87" s="61" t="str">
        <f t="shared" si="36"/>
        <v/>
      </c>
      <c r="AO87" s="57" t="str" cm="1">
        <f t="array" ref="AO87">IF(AN87&lt;&gt;"", ToGrade(AN87), "")</f>
        <v/>
      </c>
      <c r="AP87" s="58" t="str">
        <f>'GH LANG'!L89</f>
        <v/>
      </c>
      <c r="AQ87" s="59" t="str" cm="1">
        <f t="array" ref="AQ87">IF(AN87&lt;&gt;"", ToRemark(AN87), "")</f>
        <v/>
      </c>
      <c r="AR87" s="60"/>
      <c r="AS87" s="57" t="str">
        <f>IFERROR(ROUND(COMPUTING!H89,0), "")</f>
        <v/>
      </c>
      <c r="AT87" s="57" t="str">
        <f>IFERROR(ROUND(COMPUTING!J89,0), "")</f>
        <v/>
      </c>
      <c r="AU87" s="56" t="str">
        <f t="shared" si="37"/>
        <v/>
      </c>
      <c r="AV87" s="57" t="str" cm="1">
        <f t="array" ref="AV87">IF(AU87&lt;&gt;"", ToGrade(AU87), "")</f>
        <v/>
      </c>
      <c r="AW87" s="58" t="str">
        <f>COMPUTING!L89</f>
        <v/>
      </c>
      <c r="AX87" s="59" t="str" cm="1">
        <f t="array" ref="AX87">IF(AU87&lt;&gt;"", ToRemark(AU87), "")</f>
        <v/>
      </c>
      <c r="AY87" s="62"/>
      <c r="AZ87" s="57" t="str">
        <f>IFERROR(ROUND(HISTERY!H89,0), "")</f>
        <v/>
      </c>
      <c r="BA87" s="57" t="str">
        <f>IFERROR(ROUND(HISTERY!J89,0), "")</f>
        <v/>
      </c>
      <c r="BB87" s="56" t="str">
        <f t="shared" si="38"/>
        <v/>
      </c>
      <c r="BC87" s="57" t="str" cm="1">
        <f t="array" ref="BC87">IF(BB87&lt;&gt;"", ToGrade(BB87), "")</f>
        <v/>
      </c>
      <c r="BD87" s="58" t="str">
        <f>HISTERY!L89</f>
        <v/>
      </c>
      <c r="BE87" s="59" t="str" cm="1">
        <f t="array" ref="BE87">IF(BB87&lt;&gt;"", ToRemark(BB87), "")</f>
        <v/>
      </c>
      <c r="BF87" s="60"/>
      <c r="BG87" s="57" t="str">
        <f>IFERROR(ROUND(RME!H89,0), "")</f>
        <v/>
      </c>
      <c r="BH87" s="57" t="str">
        <f>IFERROR(ROUND(RME!J89,0), "")</f>
        <v/>
      </c>
      <c r="BI87" s="56" t="str">
        <f t="shared" si="39"/>
        <v/>
      </c>
      <c r="BJ87" s="57" t="str" cm="1">
        <f t="array" ref="BJ87">IF(BI87&lt;&gt;"", ToGrade(BI87), "")</f>
        <v/>
      </c>
      <c r="BK87" s="58" t="str">
        <f>RME!L89</f>
        <v/>
      </c>
      <c r="BL87" s="59" t="str" cm="1">
        <f t="array" ref="BL87">IF(BI87&lt;&gt;"", ToRemark(BI87), "")</f>
        <v/>
      </c>
      <c r="BM87" s="74"/>
      <c r="BN87" s="97" t="str">
        <f t="shared" si="40"/>
        <v/>
      </c>
      <c r="BO87" s="106" t="str">
        <f t="shared" si="41"/>
        <v/>
      </c>
      <c r="BP87" s="98" t="str" cm="1">
        <f t="array" ref="BP87">IFERROR(OrdinalNumber(_xlfn.RANK.EQ(BN87,$BN$3:$BN$101)), "")</f>
        <v/>
      </c>
      <c r="BQ87" s="104"/>
      <c r="BR87" s="99"/>
      <c r="BS87" s="111"/>
      <c r="BT87" s="83" t="str" cm="1">
        <f t="array" ref="BT87">IF(LEN(B87)&lt;&gt;0, GetTeacherRemark(BO87), "")</f>
        <v/>
      </c>
      <c r="BU87" s="86" t="str">
        <f t="shared" si="25"/>
        <v/>
      </c>
      <c r="BV87" s="86" t="str">
        <f t="shared" si="26"/>
        <v/>
      </c>
      <c r="BW87" s="86" t="str">
        <f t="shared" si="27"/>
        <v/>
      </c>
      <c r="BX87" s="86" t="str">
        <f t="shared" si="42"/>
        <v/>
      </c>
      <c r="BY87" s="115" t="str">
        <f t="shared" si="28"/>
        <v/>
      </c>
      <c r="BZ87" s="87" t="str">
        <f t="shared" si="29"/>
        <v/>
      </c>
      <c r="CA87" s="86" t="str">
        <f t="shared" si="30"/>
        <v/>
      </c>
      <c r="CB87" s="85"/>
    </row>
    <row r="88" spans="1:80" x14ac:dyDescent="0.25">
      <c r="A88" s="53" t="str">
        <v>86</v>
      </c>
      <c r="B88" s="54" t="str">
        <v/>
      </c>
      <c r="C88" s="55" t="str">
        <f>IFERROR(ROUND(ENGLISH!H90,0), "")</f>
        <v/>
      </c>
      <c r="D88" s="55" t="str">
        <f>IFERROR(ROUND(ENGLISH!J90,0), "")</f>
        <v/>
      </c>
      <c r="E88" s="56" t="str">
        <f t="shared" si="31"/>
        <v/>
      </c>
      <c r="F88" s="57" t="str" cm="1">
        <f t="array" ref="F88">IF(E88&lt;&gt;"", ToGrade(E88), "")</f>
        <v/>
      </c>
      <c r="G88" s="58" t="str">
        <f>ENGLISH!L90</f>
        <v/>
      </c>
      <c r="H88" s="59" t="str" cm="1">
        <f t="array" ref="H88">IF(E88&lt;&gt;"", ToRemark(E88), "")</f>
        <v/>
      </c>
      <c r="I88" s="60"/>
      <c r="J88" s="55" t="str">
        <f>IFERROR(ROUND(MATHS!H90,0), "")</f>
        <v/>
      </c>
      <c r="K88" s="55" t="str">
        <f>IFERROR(ROUND(MATHS!J90,0), "")</f>
        <v/>
      </c>
      <c r="L88" s="56" t="str">
        <f t="shared" si="32"/>
        <v/>
      </c>
      <c r="M88" s="57" t="str" cm="1">
        <f t="array" ref="M88">IF(L88&lt;&gt;"", ToGrade(L88), "")</f>
        <v/>
      </c>
      <c r="N88" s="58" t="str">
        <f>MATHS!L90</f>
        <v/>
      </c>
      <c r="O88" s="59" t="str" cm="1">
        <f t="array" ref="O88">IF(L88&lt;&gt;"", ToRemark(L88), "")</f>
        <v/>
      </c>
      <c r="P88" s="60"/>
      <c r="Q88" s="57" t="str">
        <f>IFERROR(ROUND(SCIENCE!H90,0), "")</f>
        <v/>
      </c>
      <c r="R88" s="57" t="str">
        <f>IFERROR(ROUND(SCIENCE!J90,0), "")</f>
        <v/>
      </c>
      <c r="S88" s="56" t="str">
        <f t="shared" si="33"/>
        <v/>
      </c>
      <c r="T88" s="57" t="str" cm="1">
        <f t="array" ref="T88">IF(S88&lt;&gt;"", ToGrade(S88), "")</f>
        <v/>
      </c>
      <c r="U88" s="58" t="str">
        <f>SCIENCE!L90</f>
        <v/>
      </c>
      <c r="V88" s="59" t="str" cm="1">
        <f t="array" ref="V88">IF(S88&lt;&gt;"", ToRemark(S88), "")</f>
        <v/>
      </c>
      <c r="W88" s="60"/>
      <c r="X88" s="57" t="str">
        <f>IFERROR(ROUND(OWOP!H90,0), "")</f>
        <v/>
      </c>
      <c r="Y88" s="57" t="str">
        <f>IFERROR(ROUND(OWOP!J90,0), "")</f>
        <v/>
      </c>
      <c r="Z88" s="56" t="str">
        <f t="shared" si="34"/>
        <v/>
      </c>
      <c r="AA88" s="57" t="str" cm="1">
        <f t="array" ref="AA88">IF(Z88&lt;&gt;"", ToGrade(Z88), "")</f>
        <v/>
      </c>
      <c r="AB88" s="58" t="str">
        <f>OWOP!L90</f>
        <v/>
      </c>
      <c r="AC88" s="59" t="str" cm="1">
        <f t="array" ref="AC88">IF(Z88&lt;&gt;"", ToRemark(Z88), "")</f>
        <v/>
      </c>
      <c r="AD88" s="60"/>
      <c r="AE88" s="57" t="str">
        <f>IFERROR(ROUND('C ARTS'!H90,0), "")</f>
        <v/>
      </c>
      <c r="AF88" s="57" t="str">
        <f>IFERROR(ROUND('C ARTS'!J90,0), "")</f>
        <v/>
      </c>
      <c r="AG88" s="56" t="str">
        <f t="shared" si="35"/>
        <v/>
      </c>
      <c r="AH88" s="57" t="str" cm="1">
        <f t="array" ref="AH88">IF(AG88&lt;&gt;"", ToGrade(AG88), "")</f>
        <v/>
      </c>
      <c r="AI88" s="58" t="str">
        <f>'C ARTS'!L90</f>
        <v/>
      </c>
      <c r="AJ88" s="59" t="str" cm="1">
        <f t="array" ref="AJ88">IF(AG88&lt;&gt;"", ToRemark(AG88), "")</f>
        <v/>
      </c>
      <c r="AK88" s="60"/>
      <c r="AL88" s="57" t="str">
        <f>IFERROR(ROUND('GH LANG'!H90,0), "")</f>
        <v/>
      </c>
      <c r="AM88" s="57" t="str">
        <f>IFERROR(ROUND('GH LANG'!J90,0), "")</f>
        <v/>
      </c>
      <c r="AN88" s="61" t="str">
        <f t="shared" si="36"/>
        <v/>
      </c>
      <c r="AO88" s="57" t="str" cm="1">
        <f t="array" ref="AO88">IF(AN88&lt;&gt;"", ToGrade(AN88), "")</f>
        <v/>
      </c>
      <c r="AP88" s="58" t="str">
        <f>'GH LANG'!L90</f>
        <v/>
      </c>
      <c r="AQ88" s="59" t="str" cm="1">
        <f t="array" ref="AQ88">IF(AN88&lt;&gt;"", ToRemark(AN88), "")</f>
        <v/>
      </c>
      <c r="AR88" s="60"/>
      <c r="AS88" s="57" t="str">
        <f>IFERROR(ROUND(COMPUTING!H90,0), "")</f>
        <v/>
      </c>
      <c r="AT88" s="57" t="str">
        <f>IFERROR(ROUND(COMPUTING!J90,0), "")</f>
        <v/>
      </c>
      <c r="AU88" s="56" t="str">
        <f t="shared" si="37"/>
        <v/>
      </c>
      <c r="AV88" s="57" t="str" cm="1">
        <f t="array" ref="AV88">IF(AU88&lt;&gt;"", ToGrade(AU88), "")</f>
        <v/>
      </c>
      <c r="AW88" s="58" t="str">
        <f>COMPUTING!L90</f>
        <v/>
      </c>
      <c r="AX88" s="59" t="str" cm="1">
        <f t="array" ref="AX88">IF(AU88&lt;&gt;"", ToRemark(AU88), "")</f>
        <v/>
      </c>
      <c r="AY88" s="62"/>
      <c r="AZ88" s="57" t="str">
        <f>IFERROR(ROUND(HISTERY!H90,0), "")</f>
        <v/>
      </c>
      <c r="BA88" s="57" t="str">
        <f>IFERROR(ROUND(HISTERY!J90,0), "")</f>
        <v/>
      </c>
      <c r="BB88" s="56" t="str">
        <f t="shared" si="38"/>
        <v/>
      </c>
      <c r="BC88" s="57" t="str" cm="1">
        <f t="array" ref="BC88">IF(BB88&lt;&gt;"", ToGrade(BB88), "")</f>
        <v/>
      </c>
      <c r="BD88" s="58" t="str">
        <f>HISTERY!L90</f>
        <v/>
      </c>
      <c r="BE88" s="59" t="str" cm="1">
        <f t="array" ref="BE88">IF(BB88&lt;&gt;"", ToRemark(BB88), "")</f>
        <v/>
      </c>
      <c r="BF88" s="60"/>
      <c r="BG88" s="57" t="str">
        <f>IFERROR(ROUND(RME!H90,0), "")</f>
        <v/>
      </c>
      <c r="BH88" s="57" t="str">
        <f>IFERROR(ROUND(RME!J90,0), "")</f>
        <v/>
      </c>
      <c r="BI88" s="56" t="str">
        <f t="shared" si="39"/>
        <v/>
      </c>
      <c r="BJ88" s="57" t="str" cm="1">
        <f t="array" ref="BJ88">IF(BI88&lt;&gt;"", ToGrade(BI88), "")</f>
        <v/>
      </c>
      <c r="BK88" s="58" t="str">
        <f>RME!L90</f>
        <v/>
      </c>
      <c r="BL88" s="59" t="str" cm="1">
        <f t="array" ref="BL88">IF(BI88&lt;&gt;"", ToRemark(BI88), "")</f>
        <v/>
      </c>
      <c r="BM88" s="74"/>
      <c r="BN88" s="97" t="str">
        <f t="shared" si="40"/>
        <v/>
      </c>
      <c r="BO88" s="106" t="str">
        <f t="shared" si="41"/>
        <v/>
      </c>
      <c r="BP88" s="98" t="str" cm="1">
        <f t="array" ref="BP88">IFERROR(OrdinalNumber(_xlfn.RANK.EQ(BN88,$BN$3:$BN$101)), "")</f>
        <v/>
      </c>
      <c r="BQ88" s="104"/>
      <c r="BR88" s="99"/>
      <c r="BS88" s="111"/>
      <c r="BT88" s="83" t="str" cm="1">
        <f t="array" ref="BT88">IF(LEN(B88)&lt;&gt;0, GetTeacherRemark(BO88), "")</f>
        <v/>
      </c>
      <c r="BU88" s="86" t="str">
        <f t="shared" si="25"/>
        <v/>
      </c>
      <c r="BV88" s="86" t="str">
        <f t="shared" si="26"/>
        <v/>
      </c>
      <c r="BW88" s="86" t="str">
        <f t="shared" si="27"/>
        <v/>
      </c>
      <c r="BX88" s="86" t="str">
        <f t="shared" si="42"/>
        <v/>
      </c>
      <c r="BY88" s="115" t="str">
        <f t="shared" si="28"/>
        <v/>
      </c>
      <c r="BZ88" s="87" t="str">
        <f t="shared" si="29"/>
        <v/>
      </c>
      <c r="CA88" s="86" t="str">
        <f t="shared" si="30"/>
        <v/>
      </c>
      <c r="CB88" s="85"/>
    </row>
    <row r="89" spans="1:80" x14ac:dyDescent="0.25">
      <c r="A89" s="53" t="str">
        <v>87</v>
      </c>
      <c r="B89" s="54" t="str">
        <v/>
      </c>
      <c r="C89" s="55" t="str">
        <f>IFERROR(ROUND(ENGLISH!H91,0), "")</f>
        <v/>
      </c>
      <c r="D89" s="55" t="str">
        <f>IFERROR(ROUND(ENGLISH!J91,0), "")</f>
        <v/>
      </c>
      <c r="E89" s="56" t="str">
        <f t="shared" si="31"/>
        <v/>
      </c>
      <c r="F89" s="57" t="str" cm="1">
        <f t="array" ref="F89">IF(E89&lt;&gt;"", ToGrade(E89), "")</f>
        <v/>
      </c>
      <c r="G89" s="58" t="str">
        <f>ENGLISH!L91</f>
        <v/>
      </c>
      <c r="H89" s="59" t="str" cm="1">
        <f t="array" ref="H89">IF(E89&lt;&gt;"", ToRemark(E89), "")</f>
        <v/>
      </c>
      <c r="I89" s="60"/>
      <c r="J89" s="55" t="str">
        <f>IFERROR(ROUND(MATHS!H91,0), "")</f>
        <v/>
      </c>
      <c r="K89" s="55" t="str">
        <f>IFERROR(ROUND(MATHS!J91,0), "")</f>
        <v/>
      </c>
      <c r="L89" s="56" t="str">
        <f t="shared" si="32"/>
        <v/>
      </c>
      <c r="M89" s="57" t="str" cm="1">
        <f t="array" ref="M89">IF(L89&lt;&gt;"", ToGrade(L89), "")</f>
        <v/>
      </c>
      <c r="N89" s="58" t="str">
        <f>MATHS!L91</f>
        <v/>
      </c>
      <c r="O89" s="59" t="str" cm="1">
        <f t="array" ref="O89">IF(L89&lt;&gt;"", ToRemark(L89), "")</f>
        <v/>
      </c>
      <c r="P89" s="60"/>
      <c r="Q89" s="57" t="str">
        <f>IFERROR(ROUND(SCIENCE!H91,0), "")</f>
        <v/>
      </c>
      <c r="R89" s="57" t="str">
        <f>IFERROR(ROUND(SCIENCE!J91,0), "")</f>
        <v/>
      </c>
      <c r="S89" s="56" t="str">
        <f t="shared" si="33"/>
        <v/>
      </c>
      <c r="T89" s="57" t="str" cm="1">
        <f t="array" ref="T89">IF(S89&lt;&gt;"", ToGrade(S89), "")</f>
        <v/>
      </c>
      <c r="U89" s="58" t="str">
        <f>SCIENCE!L91</f>
        <v/>
      </c>
      <c r="V89" s="59" t="str" cm="1">
        <f t="array" ref="V89">IF(S89&lt;&gt;"", ToRemark(S89), "")</f>
        <v/>
      </c>
      <c r="W89" s="60"/>
      <c r="X89" s="57" t="str">
        <f>IFERROR(ROUND(OWOP!H91,0), "")</f>
        <v/>
      </c>
      <c r="Y89" s="57" t="str">
        <f>IFERROR(ROUND(OWOP!J91,0), "")</f>
        <v/>
      </c>
      <c r="Z89" s="56" t="str">
        <f t="shared" si="34"/>
        <v/>
      </c>
      <c r="AA89" s="57" t="str" cm="1">
        <f t="array" ref="AA89">IF(Z89&lt;&gt;"", ToGrade(Z89), "")</f>
        <v/>
      </c>
      <c r="AB89" s="58" t="str">
        <f>OWOP!L91</f>
        <v/>
      </c>
      <c r="AC89" s="59" t="str" cm="1">
        <f t="array" ref="AC89">IF(Z89&lt;&gt;"", ToRemark(Z89), "")</f>
        <v/>
      </c>
      <c r="AD89" s="60"/>
      <c r="AE89" s="57" t="str">
        <f>IFERROR(ROUND('C ARTS'!H91,0), "")</f>
        <v/>
      </c>
      <c r="AF89" s="57" t="str">
        <f>IFERROR(ROUND('C ARTS'!J91,0), "")</f>
        <v/>
      </c>
      <c r="AG89" s="56" t="str">
        <f t="shared" si="35"/>
        <v/>
      </c>
      <c r="AH89" s="57" t="str" cm="1">
        <f t="array" ref="AH89">IF(AG89&lt;&gt;"", ToGrade(AG89), "")</f>
        <v/>
      </c>
      <c r="AI89" s="58" t="str">
        <f>'C ARTS'!L91</f>
        <v/>
      </c>
      <c r="AJ89" s="59" t="str" cm="1">
        <f t="array" ref="AJ89">IF(AG89&lt;&gt;"", ToRemark(AG89), "")</f>
        <v/>
      </c>
      <c r="AK89" s="60"/>
      <c r="AL89" s="57" t="str">
        <f>IFERROR(ROUND('GH LANG'!H91,0), "")</f>
        <v/>
      </c>
      <c r="AM89" s="57" t="str">
        <f>IFERROR(ROUND('GH LANG'!J91,0), "")</f>
        <v/>
      </c>
      <c r="AN89" s="61" t="str">
        <f t="shared" si="36"/>
        <v/>
      </c>
      <c r="AO89" s="57" t="str" cm="1">
        <f t="array" ref="AO89">IF(AN89&lt;&gt;"", ToGrade(AN89), "")</f>
        <v/>
      </c>
      <c r="AP89" s="58" t="str">
        <f>'GH LANG'!L91</f>
        <v/>
      </c>
      <c r="AQ89" s="59" t="str" cm="1">
        <f t="array" ref="AQ89">IF(AN89&lt;&gt;"", ToRemark(AN89), "")</f>
        <v/>
      </c>
      <c r="AR89" s="60"/>
      <c r="AS89" s="57" t="str">
        <f>IFERROR(ROUND(COMPUTING!H91,0), "")</f>
        <v/>
      </c>
      <c r="AT89" s="57" t="str">
        <f>IFERROR(ROUND(COMPUTING!J91,0), "")</f>
        <v/>
      </c>
      <c r="AU89" s="56" t="str">
        <f t="shared" si="37"/>
        <v/>
      </c>
      <c r="AV89" s="57" t="str" cm="1">
        <f t="array" ref="AV89">IF(AU89&lt;&gt;"", ToGrade(AU89), "")</f>
        <v/>
      </c>
      <c r="AW89" s="58" t="str">
        <f>COMPUTING!L91</f>
        <v/>
      </c>
      <c r="AX89" s="59" t="str" cm="1">
        <f t="array" ref="AX89">IF(AU89&lt;&gt;"", ToRemark(AU89), "")</f>
        <v/>
      </c>
      <c r="AY89" s="62"/>
      <c r="AZ89" s="57" t="str">
        <f>IFERROR(ROUND(HISTERY!H91,0), "")</f>
        <v/>
      </c>
      <c r="BA89" s="57" t="str">
        <f>IFERROR(ROUND(HISTERY!J91,0), "")</f>
        <v/>
      </c>
      <c r="BB89" s="56" t="str">
        <f t="shared" si="38"/>
        <v/>
      </c>
      <c r="BC89" s="57" t="str" cm="1">
        <f t="array" ref="BC89">IF(BB89&lt;&gt;"", ToGrade(BB89), "")</f>
        <v/>
      </c>
      <c r="BD89" s="58" t="str">
        <f>HISTERY!L91</f>
        <v/>
      </c>
      <c r="BE89" s="59" t="str" cm="1">
        <f t="array" ref="BE89">IF(BB89&lt;&gt;"", ToRemark(BB89), "")</f>
        <v/>
      </c>
      <c r="BF89" s="60"/>
      <c r="BG89" s="57" t="str">
        <f>IFERROR(ROUND(RME!H91,0), "")</f>
        <v/>
      </c>
      <c r="BH89" s="57" t="str">
        <f>IFERROR(ROUND(RME!J91,0), "")</f>
        <v/>
      </c>
      <c r="BI89" s="56" t="str">
        <f t="shared" si="39"/>
        <v/>
      </c>
      <c r="BJ89" s="57" t="str" cm="1">
        <f t="array" ref="BJ89">IF(BI89&lt;&gt;"", ToGrade(BI89), "")</f>
        <v/>
      </c>
      <c r="BK89" s="58" t="str">
        <f>RME!L91</f>
        <v/>
      </c>
      <c r="BL89" s="59" t="str" cm="1">
        <f t="array" ref="BL89">IF(BI89&lt;&gt;"", ToRemark(BI89), "")</f>
        <v/>
      </c>
      <c r="BM89" s="74"/>
      <c r="BN89" s="97" t="str">
        <f t="shared" si="40"/>
        <v/>
      </c>
      <c r="BO89" s="106" t="str">
        <f t="shared" si="41"/>
        <v/>
      </c>
      <c r="BP89" s="98" t="str" cm="1">
        <f t="array" ref="BP89">IFERROR(OrdinalNumber(_xlfn.RANK.EQ(BN89,$BN$3:$BN$101)), "")</f>
        <v/>
      </c>
      <c r="BQ89" s="104"/>
      <c r="BR89" s="99"/>
      <c r="BS89" s="111"/>
      <c r="BT89" s="83" t="str" cm="1">
        <f t="array" ref="BT89">IF(LEN(B89)&lt;&gt;0, GetTeacherRemark(BO89), "")</f>
        <v/>
      </c>
      <c r="BU89" s="86" t="str">
        <f t="shared" si="25"/>
        <v/>
      </c>
      <c r="BV89" s="86" t="str">
        <f t="shared" si="26"/>
        <v/>
      </c>
      <c r="BW89" s="86" t="str">
        <f t="shared" si="27"/>
        <v/>
      </c>
      <c r="BX89" s="86" t="str">
        <f t="shared" si="42"/>
        <v/>
      </c>
      <c r="BY89" s="115" t="str">
        <f t="shared" si="28"/>
        <v/>
      </c>
      <c r="BZ89" s="87" t="str">
        <f t="shared" si="29"/>
        <v/>
      </c>
      <c r="CA89" s="86" t="str">
        <f t="shared" si="30"/>
        <v/>
      </c>
      <c r="CB89" s="85"/>
    </row>
    <row r="90" spans="1:80" x14ac:dyDescent="0.25">
      <c r="A90" s="53" t="str">
        <v>88</v>
      </c>
      <c r="B90" s="54" t="str">
        <v/>
      </c>
      <c r="C90" s="55" t="str">
        <f>IFERROR(ROUND(ENGLISH!H92,0), "")</f>
        <v/>
      </c>
      <c r="D90" s="55" t="str">
        <f>IFERROR(ROUND(ENGLISH!J92,0), "")</f>
        <v/>
      </c>
      <c r="E90" s="56" t="str">
        <f t="shared" si="31"/>
        <v/>
      </c>
      <c r="F90" s="57" t="str" cm="1">
        <f t="array" ref="F90">IF(E90&lt;&gt;"", ToGrade(E90), "")</f>
        <v/>
      </c>
      <c r="G90" s="58" t="str">
        <f>ENGLISH!L92</f>
        <v/>
      </c>
      <c r="H90" s="59" t="str" cm="1">
        <f t="array" ref="H90">IF(E90&lt;&gt;"", ToRemark(E90), "")</f>
        <v/>
      </c>
      <c r="I90" s="60"/>
      <c r="J90" s="55" t="str">
        <f>IFERROR(ROUND(MATHS!H92,0), "")</f>
        <v/>
      </c>
      <c r="K90" s="55" t="str">
        <f>IFERROR(ROUND(MATHS!J92,0), "")</f>
        <v/>
      </c>
      <c r="L90" s="56" t="str">
        <f t="shared" si="32"/>
        <v/>
      </c>
      <c r="M90" s="57" t="str" cm="1">
        <f t="array" ref="M90">IF(L90&lt;&gt;"", ToGrade(L90), "")</f>
        <v/>
      </c>
      <c r="N90" s="58" t="str">
        <f>MATHS!L92</f>
        <v/>
      </c>
      <c r="O90" s="59" t="str" cm="1">
        <f t="array" ref="O90">IF(L90&lt;&gt;"", ToRemark(L90), "")</f>
        <v/>
      </c>
      <c r="P90" s="60"/>
      <c r="Q90" s="57" t="str">
        <f>IFERROR(ROUND(SCIENCE!H92,0), "")</f>
        <v/>
      </c>
      <c r="R90" s="57" t="str">
        <f>IFERROR(ROUND(SCIENCE!J92,0), "")</f>
        <v/>
      </c>
      <c r="S90" s="56" t="str">
        <f t="shared" si="33"/>
        <v/>
      </c>
      <c r="T90" s="57" t="str" cm="1">
        <f t="array" ref="T90">IF(S90&lt;&gt;"", ToGrade(S90), "")</f>
        <v/>
      </c>
      <c r="U90" s="58" t="str">
        <f>SCIENCE!L92</f>
        <v/>
      </c>
      <c r="V90" s="59" t="str" cm="1">
        <f t="array" ref="V90">IF(S90&lt;&gt;"", ToRemark(S90), "")</f>
        <v/>
      </c>
      <c r="W90" s="60"/>
      <c r="X90" s="57" t="str">
        <f>IFERROR(ROUND(OWOP!H92,0), "")</f>
        <v/>
      </c>
      <c r="Y90" s="57" t="str">
        <f>IFERROR(ROUND(OWOP!J92,0), "")</f>
        <v/>
      </c>
      <c r="Z90" s="56" t="str">
        <f t="shared" si="34"/>
        <v/>
      </c>
      <c r="AA90" s="57" t="str" cm="1">
        <f t="array" ref="AA90">IF(Z90&lt;&gt;"", ToGrade(Z90), "")</f>
        <v/>
      </c>
      <c r="AB90" s="58" t="str">
        <f>OWOP!L92</f>
        <v/>
      </c>
      <c r="AC90" s="59" t="str" cm="1">
        <f t="array" ref="AC90">IF(Z90&lt;&gt;"", ToRemark(Z90), "")</f>
        <v/>
      </c>
      <c r="AD90" s="60"/>
      <c r="AE90" s="57" t="str">
        <f>IFERROR(ROUND('C ARTS'!H92,0), "")</f>
        <v/>
      </c>
      <c r="AF90" s="57" t="str">
        <f>IFERROR(ROUND('C ARTS'!J92,0), "")</f>
        <v/>
      </c>
      <c r="AG90" s="56" t="str">
        <f t="shared" si="35"/>
        <v/>
      </c>
      <c r="AH90" s="57" t="str" cm="1">
        <f t="array" ref="AH90">IF(AG90&lt;&gt;"", ToGrade(AG90), "")</f>
        <v/>
      </c>
      <c r="AI90" s="58" t="str">
        <f>'C ARTS'!L92</f>
        <v/>
      </c>
      <c r="AJ90" s="59" t="str" cm="1">
        <f t="array" ref="AJ90">IF(AG90&lt;&gt;"", ToRemark(AG90), "")</f>
        <v/>
      </c>
      <c r="AK90" s="60"/>
      <c r="AL90" s="57" t="str">
        <f>IFERROR(ROUND('GH LANG'!H92,0), "")</f>
        <v/>
      </c>
      <c r="AM90" s="57" t="str">
        <f>IFERROR(ROUND('GH LANG'!J92,0), "")</f>
        <v/>
      </c>
      <c r="AN90" s="61" t="str">
        <f t="shared" si="36"/>
        <v/>
      </c>
      <c r="AO90" s="57" t="str" cm="1">
        <f t="array" ref="AO90">IF(AN90&lt;&gt;"", ToGrade(AN90), "")</f>
        <v/>
      </c>
      <c r="AP90" s="58" t="str">
        <f>'GH LANG'!L92</f>
        <v/>
      </c>
      <c r="AQ90" s="59" t="str" cm="1">
        <f t="array" ref="AQ90">IF(AN90&lt;&gt;"", ToRemark(AN90), "")</f>
        <v/>
      </c>
      <c r="AR90" s="60"/>
      <c r="AS90" s="57" t="str">
        <f>IFERROR(ROUND(COMPUTING!H92,0), "")</f>
        <v/>
      </c>
      <c r="AT90" s="57" t="str">
        <f>IFERROR(ROUND(COMPUTING!J92,0), "")</f>
        <v/>
      </c>
      <c r="AU90" s="56" t="str">
        <f t="shared" si="37"/>
        <v/>
      </c>
      <c r="AV90" s="57" t="str" cm="1">
        <f t="array" ref="AV90">IF(AU90&lt;&gt;"", ToGrade(AU90), "")</f>
        <v/>
      </c>
      <c r="AW90" s="58" t="str">
        <f>COMPUTING!L92</f>
        <v/>
      </c>
      <c r="AX90" s="59" t="str" cm="1">
        <f t="array" ref="AX90">IF(AU90&lt;&gt;"", ToRemark(AU90), "")</f>
        <v/>
      </c>
      <c r="AY90" s="62"/>
      <c r="AZ90" s="57" t="str">
        <f>IFERROR(ROUND(HISTERY!H92,0), "")</f>
        <v/>
      </c>
      <c r="BA90" s="57" t="str">
        <f>IFERROR(ROUND(HISTERY!J92,0), "")</f>
        <v/>
      </c>
      <c r="BB90" s="56" t="str">
        <f t="shared" si="38"/>
        <v/>
      </c>
      <c r="BC90" s="57" t="str" cm="1">
        <f t="array" ref="BC90">IF(BB90&lt;&gt;"", ToGrade(BB90), "")</f>
        <v/>
      </c>
      <c r="BD90" s="58" t="str">
        <f>HISTERY!L92</f>
        <v/>
      </c>
      <c r="BE90" s="59" t="str" cm="1">
        <f t="array" ref="BE90">IF(BB90&lt;&gt;"", ToRemark(BB90), "")</f>
        <v/>
      </c>
      <c r="BF90" s="60"/>
      <c r="BG90" s="57" t="str">
        <f>IFERROR(ROUND(RME!H92,0), "")</f>
        <v/>
      </c>
      <c r="BH90" s="57" t="str">
        <f>IFERROR(ROUND(RME!J92,0), "")</f>
        <v/>
      </c>
      <c r="BI90" s="56" t="str">
        <f t="shared" si="39"/>
        <v/>
      </c>
      <c r="BJ90" s="57" t="str" cm="1">
        <f t="array" ref="BJ90">IF(BI90&lt;&gt;"", ToGrade(BI90), "")</f>
        <v/>
      </c>
      <c r="BK90" s="58" t="str">
        <f>RME!L92</f>
        <v/>
      </c>
      <c r="BL90" s="59" t="str" cm="1">
        <f t="array" ref="BL90">IF(BI90&lt;&gt;"", ToRemark(BI90), "")</f>
        <v/>
      </c>
      <c r="BM90" s="74"/>
      <c r="BN90" s="97" t="str">
        <f t="shared" si="40"/>
        <v/>
      </c>
      <c r="BO90" s="106" t="str">
        <f t="shared" si="41"/>
        <v/>
      </c>
      <c r="BP90" s="98" t="str" cm="1">
        <f t="array" ref="BP90">IFERROR(OrdinalNumber(_xlfn.RANK.EQ(BN90,$BN$3:$BN$101)), "")</f>
        <v/>
      </c>
      <c r="BQ90" s="104"/>
      <c r="BR90" s="99"/>
      <c r="BS90" s="111"/>
      <c r="BT90" s="83" t="str" cm="1">
        <f t="array" ref="BT90">IF(LEN(B90)&lt;&gt;0, GetTeacherRemark(BO90), "")</f>
        <v/>
      </c>
      <c r="BU90" s="86" t="str">
        <f t="shared" si="25"/>
        <v/>
      </c>
      <c r="BV90" s="86" t="str">
        <f t="shared" si="26"/>
        <v/>
      </c>
      <c r="BW90" s="86" t="str">
        <f t="shared" si="27"/>
        <v/>
      </c>
      <c r="BX90" s="86" t="str">
        <f t="shared" si="42"/>
        <v/>
      </c>
      <c r="BY90" s="115" t="str">
        <f t="shared" si="28"/>
        <v/>
      </c>
      <c r="BZ90" s="87" t="str">
        <f t="shared" si="29"/>
        <v/>
      </c>
      <c r="CA90" s="86" t="str">
        <f t="shared" si="30"/>
        <v/>
      </c>
      <c r="CB90" s="85"/>
    </row>
    <row r="91" spans="1:80" x14ac:dyDescent="0.25">
      <c r="A91" s="53" t="str">
        <v>89</v>
      </c>
      <c r="B91" s="54" t="str">
        <v/>
      </c>
      <c r="C91" s="55" t="str">
        <f>IFERROR(ROUND(ENGLISH!H93,0), "")</f>
        <v/>
      </c>
      <c r="D91" s="55" t="str">
        <f>IFERROR(ROUND(ENGLISH!J93,0), "")</f>
        <v/>
      </c>
      <c r="E91" s="56" t="str">
        <f t="shared" si="31"/>
        <v/>
      </c>
      <c r="F91" s="57" t="str" cm="1">
        <f t="array" ref="F91">IF(E91&lt;&gt;"", ToGrade(E91), "")</f>
        <v/>
      </c>
      <c r="G91" s="58" t="str">
        <f>ENGLISH!L93</f>
        <v/>
      </c>
      <c r="H91" s="59" t="str" cm="1">
        <f t="array" ref="H91">IF(E91&lt;&gt;"", ToRemark(E91), "")</f>
        <v/>
      </c>
      <c r="I91" s="60"/>
      <c r="J91" s="55" t="str">
        <f>IFERROR(ROUND(MATHS!H93,0), "")</f>
        <v/>
      </c>
      <c r="K91" s="55" t="str">
        <f>IFERROR(ROUND(MATHS!J93,0), "")</f>
        <v/>
      </c>
      <c r="L91" s="56" t="str">
        <f t="shared" si="32"/>
        <v/>
      </c>
      <c r="M91" s="57" t="str" cm="1">
        <f t="array" ref="M91">IF(L91&lt;&gt;"", ToGrade(L91), "")</f>
        <v/>
      </c>
      <c r="N91" s="58" t="str">
        <f>MATHS!L93</f>
        <v/>
      </c>
      <c r="O91" s="59" t="str" cm="1">
        <f t="array" ref="O91">IF(L91&lt;&gt;"", ToRemark(L91), "")</f>
        <v/>
      </c>
      <c r="P91" s="60"/>
      <c r="Q91" s="57" t="str">
        <f>IFERROR(ROUND(SCIENCE!H93,0), "")</f>
        <v/>
      </c>
      <c r="R91" s="57" t="str">
        <f>IFERROR(ROUND(SCIENCE!J93,0), "")</f>
        <v/>
      </c>
      <c r="S91" s="56" t="str">
        <f t="shared" si="33"/>
        <v/>
      </c>
      <c r="T91" s="57" t="str" cm="1">
        <f t="array" ref="T91">IF(S91&lt;&gt;"", ToGrade(S91), "")</f>
        <v/>
      </c>
      <c r="U91" s="58" t="str">
        <f>SCIENCE!L93</f>
        <v/>
      </c>
      <c r="V91" s="59" t="str" cm="1">
        <f t="array" ref="V91">IF(S91&lt;&gt;"", ToRemark(S91), "")</f>
        <v/>
      </c>
      <c r="W91" s="60"/>
      <c r="X91" s="57" t="str">
        <f>IFERROR(ROUND(OWOP!H93,0), "")</f>
        <v/>
      </c>
      <c r="Y91" s="57" t="str">
        <f>IFERROR(ROUND(OWOP!J93,0), "")</f>
        <v/>
      </c>
      <c r="Z91" s="56" t="str">
        <f t="shared" si="34"/>
        <v/>
      </c>
      <c r="AA91" s="57" t="str" cm="1">
        <f t="array" ref="AA91">IF(Z91&lt;&gt;"", ToGrade(Z91), "")</f>
        <v/>
      </c>
      <c r="AB91" s="58" t="str">
        <f>OWOP!L93</f>
        <v/>
      </c>
      <c r="AC91" s="59" t="str" cm="1">
        <f t="array" ref="AC91">IF(Z91&lt;&gt;"", ToRemark(Z91), "")</f>
        <v/>
      </c>
      <c r="AD91" s="60"/>
      <c r="AE91" s="57" t="str">
        <f>IFERROR(ROUND('C ARTS'!H93,0), "")</f>
        <v/>
      </c>
      <c r="AF91" s="57" t="str">
        <f>IFERROR(ROUND('C ARTS'!J93,0), "")</f>
        <v/>
      </c>
      <c r="AG91" s="56" t="str">
        <f t="shared" si="35"/>
        <v/>
      </c>
      <c r="AH91" s="57" t="str" cm="1">
        <f t="array" ref="AH91">IF(AG91&lt;&gt;"", ToGrade(AG91), "")</f>
        <v/>
      </c>
      <c r="AI91" s="58" t="str">
        <f>'C ARTS'!L93</f>
        <v/>
      </c>
      <c r="AJ91" s="59" t="str" cm="1">
        <f t="array" ref="AJ91">IF(AG91&lt;&gt;"", ToRemark(AG91), "")</f>
        <v/>
      </c>
      <c r="AK91" s="60"/>
      <c r="AL91" s="57" t="str">
        <f>IFERROR(ROUND('GH LANG'!H93,0), "")</f>
        <v/>
      </c>
      <c r="AM91" s="57" t="str">
        <f>IFERROR(ROUND('GH LANG'!J93,0), "")</f>
        <v/>
      </c>
      <c r="AN91" s="61" t="str">
        <f t="shared" si="36"/>
        <v/>
      </c>
      <c r="AO91" s="57" t="str" cm="1">
        <f t="array" ref="AO91">IF(AN91&lt;&gt;"", ToGrade(AN91), "")</f>
        <v/>
      </c>
      <c r="AP91" s="58" t="str">
        <f>'GH LANG'!L93</f>
        <v/>
      </c>
      <c r="AQ91" s="59" t="str" cm="1">
        <f t="array" ref="AQ91">IF(AN91&lt;&gt;"", ToRemark(AN91), "")</f>
        <v/>
      </c>
      <c r="AR91" s="60"/>
      <c r="AS91" s="57" t="str">
        <f>IFERROR(ROUND(COMPUTING!H93,0), "")</f>
        <v/>
      </c>
      <c r="AT91" s="57" t="str">
        <f>IFERROR(ROUND(COMPUTING!J93,0), "")</f>
        <v/>
      </c>
      <c r="AU91" s="56" t="str">
        <f t="shared" si="37"/>
        <v/>
      </c>
      <c r="AV91" s="57" t="str" cm="1">
        <f t="array" ref="AV91">IF(AU91&lt;&gt;"", ToGrade(AU91), "")</f>
        <v/>
      </c>
      <c r="AW91" s="58" t="str">
        <f>COMPUTING!L93</f>
        <v/>
      </c>
      <c r="AX91" s="59" t="str" cm="1">
        <f t="array" ref="AX91">IF(AU91&lt;&gt;"", ToRemark(AU91), "")</f>
        <v/>
      </c>
      <c r="AY91" s="62"/>
      <c r="AZ91" s="57" t="str">
        <f>IFERROR(ROUND(HISTERY!H93,0), "")</f>
        <v/>
      </c>
      <c r="BA91" s="57" t="str">
        <f>IFERROR(ROUND(HISTERY!J93,0), "")</f>
        <v/>
      </c>
      <c r="BB91" s="56" t="str">
        <f t="shared" si="38"/>
        <v/>
      </c>
      <c r="BC91" s="57" t="str" cm="1">
        <f t="array" ref="BC91">IF(BB91&lt;&gt;"", ToGrade(BB91), "")</f>
        <v/>
      </c>
      <c r="BD91" s="58" t="str">
        <f>HISTERY!L93</f>
        <v/>
      </c>
      <c r="BE91" s="59" t="str" cm="1">
        <f t="array" ref="BE91">IF(BB91&lt;&gt;"", ToRemark(BB91), "")</f>
        <v/>
      </c>
      <c r="BF91" s="60"/>
      <c r="BG91" s="57" t="str">
        <f>IFERROR(ROUND(RME!H93,0), "")</f>
        <v/>
      </c>
      <c r="BH91" s="57" t="str">
        <f>IFERROR(ROUND(RME!J93,0), "")</f>
        <v/>
      </c>
      <c r="BI91" s="56" t="str">
        <f t="shared" si="39"/>
        <v/>
      </c>
      <c r="BJ91" s="57" t="str" cm="1">
        <f t="array" ref="BJ91">IF(BI91&lt;&gt;"", ToGrade(BI91), "")</f>
        <v/>
      </c>
      <c r="BK91" s="58" t="str">
        <f>RME!L93</f>
        <v/>
      </c>
      <c r="BL91" s="59" t="str" cm="1">
        <f t="array" ref="BL91">IF(BI91&lt;&gt;"", ToRemark(BI91), "")</f>
        <v/>
      </c>
      <c r="BM91" s="74"/>
      <c r="BN91" s="97" t="str">
        <f t="shared" si="40"/>
        <v/>
      </c>
      <c r="BO91" s="106" t="str">
        <f t="shared" si="41"/>
        <v/>
      </c>
      <c r="BP91" s="98" t="str" cm="1">
        <f t="array" ref="BP91">IFERROR(OrdinalNumber(_xlfn.RANK.EQ(BN91,$BN$3:$BN$101)), "")</f>
        <v/>
      </c>
      <c r="BQ91" s="104"/>
      <c r="BR91" s="99"/>
      <c r="BS91" s="111"/>
      <c r="BT91" s="83" t="str" cm="1">
        <f t="array" ref="BT91">IF(LEN(B91)&lt;&gt;0, GetTeacherRemark(BO91), "")</f>
        <v/>
      </c>
      <c r="BU91" s="86" t="str">
        <f t="shared" si="25"/>
        <v/>
      </c>
      <c r="BV91" s="86" t="str">
        <f t="shared" si="26"/>
        <v/>
      </c>
      <c r="BW91" s="86" t="str">
        <f t="shared" si="27"/>
        <v/>
      </c>
      <c r="BX91" s="86" t="str">
        <f t="shared" si="42"/>
        <v/>
      </c>
      <c r="BY91" s="115" t="str">
        <f t="shared" si="28"/>
        <v/>
      </c>
      <c r="BZ91" s="87" t="str">
        <f t="shared" si="29"/>
        <v/>
      </c>
      <c r="CA91" s="86" t="str">
        <f t="shared" si="30"/>
        <v/>
      </c>
      <c r="CB91" s="85"/>
    </row>
    <row r="92" spans="1:80" x14ac:dyDescent="0.25">
      <c r="A92" s="53" t="str">
        <v>90</v>
      </c>
      <c r="B92" s="54" t="str">
        <v/>
      </c>
      <c r="C92" s="55" t="str">
        <f>IFERROR(ROUND(ENGLISH!H94,0), "")</f>
        <v/>
      </c>
      <c r="D92" s="55" t="str">
        <f>IFERROR(ROUND(ENGLISH!J94,0), "")</f>
        <v/>
      </c>
      <c r="E92" s="56" t="str">
        <f t="shared" si="31"/>
        <v/>
      </c>
      <c r="F92" s="57" t="str" cm="1">
        <f t="array" ref="F92">IF(E92&lt;&gt;"", ToGrade(E92), "")</f>
        <v/>
      </c>
      <c r="G92" s="58" t="str">
        <f>ENGLISH!L94</f>
        <v/>
      </c>
      <c r="H92" s="59" t="str" cm="1">
        <f t="array" ref="H92">IF(E92&lt;&gt;"", ToRemark(E92), "")</f>
        <v/>
      </c>
      <c r="I92" s="60"/>
      <c r="J92" s="55" t="str">
        <f>IFERROR(ROUND(MATHS!H94,0), "")</f>
        <v/>
      </c>
      <c r="K92" s="55" t="str">
        <f>IFERROR(ROUND(MATHS!J94,0), "")</f>
        <v/>
      </c>
      <c r="L92" s="56" t="str">
        <f t="shared" si="32"/>
        <v/>
      </c>
      <c r="M92" s="57" t="str" cm="1">
        <f t="array" ref="M92">IF(L92&lt;&gt;"", ToGrade(L92), "")</f>
        <v/>
      </c>
      <c r="N92" s="58" t="str">
        <f>MATHS!L94</f>
        <v/>
      </c>
      <c r="O92" s="59" t="str" cm="1">
        <f t="array" ref="O92">IF(L92&lt;&gt;"", ToRemark(L92), "")</f>
        <v/>
      </c>
      <c r="P92" s="60"/>
      <c r="Q92" s="57" t="str">
        <f>IFERROR(ROUND(SCIENCE!H94,0), "")</f>
        <v/>
      </c>
      <c r="R92" s="57" t="str">
        <f>IFERROR(ROUND(SCIENCE!J94,0), "")</f>
        <v/>
      </c>
      <c r="S92" s="56" t="str">
        <f t="shared" si="33"/>
        <v/>
      </c>
      <c r="T92" s="57" t="str" cm="1">
        <f t="array" ref="T92">IF(S92&lt;&gt;"", ToGrade(S92), "")</f>
        <v/>
      </c>
      <c r="U92" s="58" t="str">
        <f>SCIENCE!L94</f>
        <v/>
      </c>
      <c r="V92" s="59" t="str" cm="1">
        <f t="array" ref="V92">IF(S92&lt;&gt;"", ToRemark(S92), "")</f>
        <v/>
      </c>
      <c r="W92" s="60"/>
      <c r="X92" s="57" t="str">
        <f>IFERROR(ROUND(OWOP!H94,0), "")</f>
        <v/>
      </c>
      <c r="Y92" s="57" t="str">
        <f>IFERROR(ROUND(OWOP!J94,0), "")</f>
        <v/>
      </c>
      <c r="Z92" s="56" t="str">
        <f t="shared" si="34"/>
        <v/>
      </c>
      <c r="AA92" s="57" t="str" cm="1">
        <f t="array" ref="AA92">IF(Z92&lt;&gt;"", ToGrade(Z92), "")</f>
        <v/>
      </c>
      <c r="AB92" s="58" t="str">
        <f>OWOP!L94</f>
        <v/>
      </c>
      <c r="AC92" s="59" t="str" cm="1">
        <f t="array" ref="AC92">IF(Z92&lt;&gt;"", ToRemark(Z92), "")</f>
        <v/>
      </c>
      <c r="AD92" s="60"/>
      <c r="AE92" s="57" t="str">
        <f>IFERROR(ROUND('C ARTS'!H94,0), "")</f>
        <v/>
      </c>
      <c r="AF92" s="57" t="str">
        <f>IFERROR(ROUND('C ARTS'!J94,0), "")</f>
        <v/>
      </c>
      <c r="AG92" s="56" t="str">
        <f t="shared" si="35"/>
        <v/>
      </c>
      <c r="AH92" s="57" t="str" cm="1">
        <f t="array" ref="AH92">IF(AG92&lt;&gt;"", ToGrade(AG92), "")</f>
        <v/>
      </c>
      <c r="AI92" s="58" t="str">
        <f>'C ARTS'!L94</f>
        <v/>
      </c>
      <c r="AJ92" s="59" t="str" cm="1">
        <f t="array" ref="AJ92">IF(AG92&lt;&gt;"", ToRemark(AG92), "")</f>
        <v/>
      </c>
      <c r="AK92" s="60"/>
      <c r="AL92" s="57" t="str">
        <f>IFERROR(ROUND('GH LANG'!H94,0), "")</f>
        <v/>
      </c>
      <c r="AM92" s="57" t="str">
        <f>IFERROR(ROUND('GH LANG'!J94,0), "")</f>
        <v/>
      </c>
      <c r="AN92" s="61" t="str">
        <f t="shared" si="36"/>
        <v/>
      </c>
      <c r="AO92" s="57" t="str" cm="1">
        <f t="array" ref="AO92">IF(AN92&lt;&gt;"", ToGrade(AN92), "")</f>
        <v/>
      </c>
      <c r="AP92" s="58" t="str">
        <f>'GH LANG'!L94</f>
        <v/>
      </c>
      <c r="AQ92" s="59" t="str" cm="1">
        <f t="array" ref="AQ92">IF(AN92&lt;&gt;"", ToRemark(AN92), "")</f>
        <v/>
      </c>
      <c r="AR92" s="60"/>
      <c r="AS92" s="57" t="str">
        <f>IFERROR(ROUND(COMPUTING!H94,0), "")</f>
        <v/>
      </c>
      <c r="AT92" s="57" t="str">
        <f>IFERROR(ROUND(COMPUTING!J94,0), "")</f>
        <v/>
      </c>
      <c r="AU92" s="56" t="str">
        <f t="shared" si="37"/>
        <v/>
      </c>
      <c r="AV92" s="57" t="str" cm="1">
        <f t="array" ref="AV92">IF(AU92&lt;&gt;"", ToGrade(AU92), "")</f>
        <v/>
      </c>
      <c r="AW92" s="58" t="str">
        <f>COMPUTING!L94</f>
        <v/>
      </c>
      <c r="AX92" s="59" t="str" cm="1">
        <f t="array" ref="AX92">IF(AU92&lt;&gt;"", ToRemark(AU92), "")</f>
        <v/>
      </c>
      <c r="AY92" s="62"/>
      <c r="AZ92" s="57" t="str">
        <f>IFERROR(ROUND(HISTERY!H94,0), "")</f>
        <v/>
      </c>
      <c r="BA92" s="57" t="str">
        <f>IFERROR(ROUND(HISTERY!J94,0), "")</f>
        <v/>
      </c>
      <c r="BB92" s="56" t="str">
        <f t="shared" si="38"/>
        <v/>
      </c>
      <c r="BC92" s="57" t="str" cm="1">
        <f t="array" ref="BC92">IF(BB92&lt;&gt;"", ToGrade(BB92), "")</f>
        <v/>
      </c>
      <c r="BD92" s="58" t="str">
        <f>HISTERY!L94</f>
        <v/>
      </c>
      <c r="BE92" s="59" t="str" cm="1">
        <f t="array" ref="BE92">IF(BB92&lt;&gt;"", ToRemark(BB92), "")</f>
        <v/>
      </c>
      <c r="BF92" s="60"/>
      <c r="BG92" s="57" t="str">
        <f>IFERROR(ROUND(RME!H94,0), "")</f>
        <v/>
      </c>
      <c r="BH92" s="57" t="str">
        <f>IFERROR(ROUND(RME!J94,0), "")</f>
        <v/>
      </c>
      <c r="BI92" s="56" t="str">
        <f t="shared" si="39"/>
        <v/>
      </c>
      <c r="BJ92" s="57" t="str" cm="1">
        <f t="array" ref="BJ92">IF(BI92&lt;&gt;"", ToGrade(BI92), "")</f>
        <v/>
      </c>
      <c r="BK92" s="58" t="str">
        <f>RME!L94</f>
        <v/>
      </c>
      <c r="BL92" s="59" t="str" cm="1">
        <f t="array" ref="BL92">IF(BI92&lt;&gt;"", ToRemark(BI92), "")</f>
        <v/>
      </c>
      <c r="BM92" s="74"/>
      <c r="BN92" s="97" t="str">
        <f t="shared" si="40"/>
        <v/>
      </c>
      <c r="BO92" s="106" t="str">
        <f t="shared" si="41"/>
        <v/>
      </c>
      <c r="BP92" s="98" t="str" cm="1">
        <f t="array" ref="BP92">IFERROR(OrdinalNumber(_xlfn.RANK.EQ(BN92,$BN$3:$BN$101)), "")</f>
        <v/>
      </c>
      <c r="BQ92" s="104"/>
      <c r="BR92" s="99"/>
      <c r="BS92" s="111"/>
      <c r="BT92" s="83" t="str" cm="1">
        <f t="array" ref="BT92">IF(LEN(B92)&lt;&gt;0, GetTeacherRemark(BO92), "")</f>
        <v/>
      </c>
      <c r="BU92" s="86" t="str">
        <f t="shared" si="25"/>
        <v/>
      </c>
      <c r="BV92" s="86" t="str">
        <f t="shared" si="26"/>
        <v/>
      </c>
      <c r="BW92" s="86" t="str">
        <f t="shared" si="27"/>
        <v/>
      </c>
      <c r="BX92" s="86" t="str">
        <f t="shared" si="42"/>
        <v/>
      </c>
      <c r="BY92" s="115" t="str">
        <f t="shared" si="28"/>
        <v/>
      </c>
      <c r="BZ92" s="87" t="str">
        <f t="shared" si="29"/>
        <v/>
      </c>
      <c r="CA92" s="86" t="str">
        <f t="shared" si="30"/>
        <v/>
      </c>
      <c r="CB92" s="85"/>
    </row>
    <row r="93" spans="1:80" x14ac:dyDescent="0.25">
      <c r="A93" s="53" t="str">
        <v>91</v>
      </c>
      <c r="B93" s="54" t="str">
        <v/>
      </c>
      <c r="C93" s="55" t="str">
        <f>IFERROR(ROUND(ENGLISH!H95,0), "")</f>
        <v/>
      </c>
      <c r="D93" s="55" t="str">
        <f>IFERROR(ROUND(ENGLISH!J95,0), "")</f>
        <v/>
      </c>
      <c r="E93" s="56" t="str">
        <f t="shared" si="31"/>
        <v/>
      </c>
      <c r="F93" s="57" t="str" cm="1">
        <f t="array" ref="F93">IF(E93&lt;&gt;"", ToGrade(E93), "")</f>
        <v/>
      </c>
      <c r="G93" s="58" t="str">
        <f>ENGLISH!L95</f>
        <v/>
      </c>
      <c r="H93" s="59" t="str" cm="1">
        <f t="array" ref="H93">IF(E93&lt;&gt;"", ToRemark(E93), "")</f>
        <v/>
      </c>
      <c r="I93" s="60"/>
      <c r="J93" s="55" t="str">
        <f>IFERROR(ROUND(MATHS!H95,0), "")</f>
        <v/>
      </c>
      <c r="K93" s="55" t="str">
        <f>IFERROR(ROUND(MATHS!J95,0), "")</f>
        <v/>
      </c>
      <c r="L93" s="56" t="str">
        <f t="shared" si="32"/>
        <v/>
      </c>
      <c r="M93" s="57" t="str" cm="1">
        <f t="array" ref="M93">IF(L93&lt;&gt;"", ToGrade(L93), "")</f>
        <v/>
      </c>
      <c r="N93" s="58" t="str">
        <f>MATHS!L95</f>
        <v/>
      </c>
      <c r="O93" s="59" t="str" cm="1">
        <f t="array" ref="O93">IF(L93&lt;&gt;"", ToRemark(L93), "")</f>
        <v/>
      </c>
      <c r="P93" s="60"/>
      <c r="Q93" s="57" t="str">
        <f>IFERROR(ROUND(SCIENCE!H95,0), "")</f>
        <v/>
      </c>
      <c r="R93" s="57" t="str">
        <f>IFERROR(ROUND(SCIENCE!J95,0), "")</f>
        <v/>
      </c>
      <c r="S93" s="56" t="str">
        <f t="shared" si="33"/>
        <v/>
      </c>
      <c r="T93" s="57" t="str" cm="1">
        <f t="array" ref="T93">IF(S93&lt;&gt;"", ToGrade(S93), "")</f>
        <v/>
      </c>
      <c r="U93" s="58" t="str">
        <f>SCIENCE!L95</f>
        <v/>
      </c>
      <c r="V93" s="59" t="str" cm="1">
        <f t="array" ref="V93">IF(S93&lt;&gt;"", ToRemark(S93), "")</f>
        <v/>
      </c>
      <c r="W93" s="60"/>
      <c r="X93" s="57" t="str">
        <f>IFERROR(ROUND(OWOP!H95,0), "")</f>
        <v/>
      </c>
      <c r="Y93" s="57" t="str">
        <f>IFERROR(ROUND(OWOP!J95,0), "")</f>
        <v/>
      </c>
      <c r="Z93" s="56" t="str">
        <f t="shared" si="34"/>
        <v/>
      </c>
      <c r="AA93" s="57" t="str" cm="1">
        <f t="array" ref="AA93">IF(Z93&lt;&gt;"", ToGrade(Z93), "")</f>
        <v/>
      </c>
      <c r="AB93" s="58" t="str">
        <f>OWOP!L95</f>
        <v/>
      </c>
      <c r="AC93" s="59" t="str" cm="1">
        <f t="array" ref="AC93">IF(Z93&lt;&gt;"", ToRemark(Z93), "")</f>
        <v/>
      </c>
      <c r="AD93" s="60"/>
      <c r="AE93" s="57" t="str">
        <f>IFERROR(ROUND('C ARTS'!H95,0), "")</f>
        <v/>
      </c>
      <c r="AF93" s="57" t="str">
        <f>IFERROR(ROUND('C ARTS'!J95,0), "")</f>
        <v/>
      </c>
      <c r="AG93" s="56" t="str">
        <f t="shared" si="35"/>
        <v/>
      </c>
      <c r="AH93" s="57" t="str" cm="1">
        <f t="array" ref="AH93">IF(AG93&lt;&gt;"", ToGrade(AG93), "")</f>
        <v/>
      </c>
      <c r="AI93" s="58" t="str">
        <f>'C ARTS'!L95</f>
        <v/>
      </c>
      <c r="AJ93" s="59" t="str" cm="1">
        <f t="array" ref="AJ93">IF(AG93&lt;&gt;"", ToRemark(AG93), "")</f>
        <v/>
      </c>
      <c r="AK93" s="60"/>
      <c r="AL93" s="57" t="str">
        <f>IFERROR(ROUND('GH LANG'!H95,0), "")</f>
        <v/>
      </c>
      <c r="AM93" s="57" t="str">
        <f>IFERROR(ROUND('GH LANG'!J95,0), "")</f>
        <v/>
      </c>
      <c r="AN93" s="61" t="str">
        <f t="shared" si="36"/>
        <v/>
      </c>
      <c r="AO93" s="57" t="str" cm="1">
        <f t="array" ref="AO93">IF(AN93&lt;&gt;"", ToGrade(AN93), "")</f>
        <v/>
      </c>
      <c r="AP93" s="58" t="str">
        <f>'GH LANG'!L95</f>
        <v/>
      </c>
      <c r="AQ93" s="59" t="str" cm="1">
        <f t="array" ref="AQ93">IF(AN93&lt;&gt;"", ToRemark(AN93), "")</f>
        <v/>
      </c>
      <c r="AR93" s="60"/>
      <c r="AS93" s="57" t="str">
        <f>IFERROR(ROUND(COMPUTING!H95,0), "")</f>
        <v/>
      </c>
      <c r="AT93" s="57" t="str">
        <f>IFERROR(ROUND(COMPUTING!J95,0), "")</f>
        <v/>
      </c>
      <c r="AU93" s="56" t="str">
        <f t="shared" si="37"/>
        <v/>
      </c>
      <c r="AV93" s="57" t="str" cm="1">
        <f t="array" ref="AV93">IF(AU93&lt;&gt;"", ToGrade(AU93), "")</f>
        <v/>
      </c>
      <c r="AW93" s="58" t="str">
        <f>COMPUTING!L95</f>
        <v/>
      </c>
      <c r="AX93" s="59" t="str" cm="1">
        <f t="array" ref="AX93">IF(AU93&lt;&gt;"", ToRemark(AU93), "")</f>
        <v/>
      </c>
      <c r="AY93" s="62"/>
      <c r="AZ93" s="57" t="str">
        <f>IFERROR(ROUND(HISTERY!H95,0), "")</f>
        <v/>
      </c>
      <c r="BA93" s="57" t="str">
        <f>IFERROR(ROUND(HISTERY!J95,0), "")</f>
        <v/>
      </c>
      <c r="BB93" s="56" t="str">
        <f t="shared" si="38"/>
        <v/>
      </c>
      <c r="BC93" s="57" t="str" cm="1">
        <f t="array" ref="BC93">IF(BB93&lt;&gt;"", ToGrade(BB93), "")</f>
        <v/>
      </c>
      <c r="BD93" s="58" t="str">
        <f>HISTERY!L95</f>
        <v/>
      </c>
      <c r="BE93" s="59" t="str" cm="1">
        <f t="array" ref="BE93">IF(BB93&lt;&gt;"", ToRemark(BB93), "")</f>
        <v/>
      </c>
      <c r="BF93" s="60"/>
      <c r="BG93" s="57" t="str">
        <f>IFERROR(ROUND(RME!H95,0), "")</f>
        <v/>
      </c>
      <c r="BH93" s="57" t="str">
        <f>IFERROR(ROUND(RME!J95,0), "")</f>
        <v/>
      </c>
      <c r="BI93" s="56" t="str">
        <f t="shared" si="39"/>
        <v/>
      </c>
      <c r="BJ93" s="57" t="str" cm="1">
        <f t="array" ref="BJ93">IF(BI93&lt;&gt;"", ToGrade(BI93), "")</f>
        <v/>
      </c>
      <c r="BK93" s="58" t="str">
        <f>RME!L95</f>
        <v/>
      </c>
      <c r="BL93" s="59" t="str" cm="1">
        <f t="array" ref="BL93">IF(BI93&lt;&gt;"", ToRemark(BI93), "")</f>
        <v/>
      </c>
      <c r="BM93" s="74"/>
      <c r="BN93" s="97" t="str">
        <f t="shared" si="40"/>
        <v/>
      </c>
      <c r="BO93" s="106" t="str">
        <f t="shared" si="41"/>
        <v/>
      </c>
      <c r="BP93" s="98" t="str" cm="1">
        <f t="array" ref="BP93">IFERROR(OrdinalNumber(_xlfn.RANK.EQ(BN93,$BN$3:$BN$101)), "")</f>
        <v/>
      </c>
      <c r="BQ93" s="104"/>
      <c r="BR93" s="99"/>
      <c r="BS93" s="111"/>
      <c r="BT93" s="83" t="str" cm="1">
        <f t="array" ref="BT93">IF(LEN(B93)&lt;&gt;0, GetTeacherRemark(BO93), "")</f>
        <v/>
      </c>
      <c r="BU93" s="86" t="str">
        <f t="shared" si="25"/>
        <v/>
      </c>
      <c r="BV93" s="86" t="str">
        <f t="shared" si="26"/>
        <v/>
      </c>
      <c r="BW93" s="86" t="str">
        <f t="shared" si="27"/>
        <v/>
      </c>
      <c r="BX93" s="86" t="str">
        <f t="shared" si="42"/>
        <v/>
      </c>
      <c r="BY93" s="115" t="str">
        <f t="shared" si="28"/>
        <v/>
      </c>
      <c r="BZ93" s="87" t="str">
        <f t="shared" si="29"/>
        <v/>
      </c>
      <c r="CA93" s="86" t="str">
        <f t="shared" si="30"/>
        <v/>
      </c>
      <c r="CB93" s="85"/>
    </row>
    <row r="94" spans="1:80" x14ac:dyDescent="0.25">
      <c r="A94" s="53" t="str">
        <v>92</v>
      </c>
      <c r="B94" s="54" t="str">
        <v/>
      </c>
      <c r="C94" s="55" t="str">
        <f>IFERROR(ROUND(ENGLISH!H96,0), "")</f>
        <v/>
      </c>
      <c r="D94" s="55" t="str">
        <f>IFERROR(ROUND(ENGLISH!J96,0), "")</f>
        <v/>
      </c>
      <c r="E94" s="56" t="str">
        <f t="shared" si="31"/>
        <v/>
      </c>
      <c r="F94" s="57" t="str" cm="1">
        <f t="array" ref="F94">IF(E94&lt;&gt;"", ToGrade(E94), "")</f>
        <v/>
      </c>
      <c r="G94" s="58" t="str">
        <f>ENGLISH!L96</f>
        <v/>
      </c>
      <c r="H94" s="59" t="str" cm="1">
        <f t="array" ref="H94">IF(E94&lt;&gt;"", ToRemark(E94), "")</f>
        <v/>
      </c>
      <c r="I94" s="60"/>
      <c r="J94" s="55" t="str">
        <f>IFERROR(ROUND(MATHS!H96,0), "")</f>
        <v/>
      </c>
      <c r="K94" s="55" t="str">
        <f>IFERROR(ROUND(MATHS!J96,0), "")</f>
        <v/>
      </c>
      <c r="L94" s="56" t="str">
        <f t="shared" si="32"/>
        <v/>
      </c>
      <c r="M94" s="57" t="str" cm="1">
        <f t="array" ref="M94">IF(L94&lt;&gt;"", ToGrade(L94), "")</f>
        <v/>
      </c>
      <c r="N94" s="58" t="str">
        <f>MATHS!L96</f>
        <v/>
      </c>
      <c r="O94" s="59" t="str" cm="1">
        <f t="array" ref="O94">IF(L94&lt;&gt;"", ToRemark(L94), "")</f>
        <v/>
      </c>
      <c r="P94" s="60"/>
      <c r="Q94" s="57" t="str">
        <f>IFERROR(ROUND(SCIENCE!H96,0), "")</f>
        <v/>
      </c>
      <c r="R94" s="57" t="str">
        <f>IFERROR(ROUND(SCIENCE!J96,0), "")</f>
        <v/>
      </c>
      <c r="S94" s="56" t="str">
        <f t="shared" si="33"/>
        <v/>
      </c>
      <c r="T94" s="57" t="str" cm="1">
        <f t="array" ref="T94">IF(S94&lt;&gt;"", ToGrade(S94), "")</f>
        <v/>
      </c>
      <c r="U94" s="58" t="str">
        <f>SCIENCE!L96</f>
        <v/>
      </c>
      <c r="V94" s="59" t="str" cm="1">
        <f t="array" ref="V94">IF(S94&lt;&gt;"", ToRemark(S94), "")</f>
        <v/>
      </c>
      <c r="W94" s="60"/>
      <c r="X94" s="57" t="str">
        <f>IFERROR(ROUND(OWOP!H96,0), "")</f>
        <v/>
      </c>
      <c r="Y94" s="57" t="str">
        <f>IFERROR(ROUND(OWOP!J96,0), "")</f>
        <v/>
      </c>
      <c r="Z94" s="56" t="str">
        <f t="shared" si="34"/>
        <v/>
      </c>
      <c r="AA94" s="57" t="str" cm="1">
        <f t="array" ref="AA94">IF(Z94&lt;&gt;"", ToGrade(Z94), "")</f>
        <v/>
      </c>
      <c r="AB94" s="58" t="str">
        <f>OWOP!L96</f>
        <v/>
      </c>
      <c r="AC94" s="59" t="str" cm="1">
        <f t="array" ref="AC94">IF(Z94&lt;&gt;"", ToRemark(Z94), "")</f>
        <v/>
      </c>
      <c r="AD94" s="60"/>
      <c r="AE94" s="57" t="str">
        <f>IFERROR(ROUND('C ARTS'!H96,0), "")</f>
        <v/>
      </c>
      <c r="AF94" s="57" t="str">
        <f>IFERROR(ROUND('C ARTS'!J96,0), "")</f>
        <v/>
      </c>
      <c r="AG94" s="56" t="str">
        <f t="shared" si="35"/>
        <v/>
      </c>
      <c r="AH94" s="57" t="str" cm="1">
        <f t="array" ref="AH94">IF(AG94&lt;&gt;"", ToGrade(AG94), "")</f>
        <v/>
      </c>
      <c r="AI94" s="58" t="str">
        <f>'C ARTS'!L96</f>
        <v/>
      </c>
      <c r="AJ94" s="59" t="str" cm="1">
        <f t="array" ref="AJ94">IF(AG94&lt;&gt;"", ToRemark(AG94), "")</f>
        <v/>
      </c>
      <c r="AK94" s="60"/>
      <c r="AL94" s="57" t="str">
        <f>IFERROR(ROUND('GH LANG'!H96,0), "")</f>
        <v/>
      </c>
      <c r="AM94" s="57" t="str">
        <f>IFERROR(ROUND('GH LANG'!J96,0), "")</f>
        <v/>
      </c>
      <c r="AN94" s="61" t="str">
        <f t="shared" si="36"/>
        <v/>
      </c>
      <c r="AO94" s="57" t="str" cm="1">
        <f t="array" ref="AO94">IF(AN94&lt;&gt;"", ToGrade(AN94), "")</f>
        <v/>
      </c>
      <c r="AP94" s="58" t="str">
        <f>'GH LANG'!L96</f>
        <v/>
      </c>
      <c r="AQ94" s="59" t="str" cm="1">
        <f t="array" ref="AQ94">IF(AN94&lt;&gt;"", ToRemark(AN94), "")</f>
        <v/>
      </c>
      <c r="AR94" s="60"/>
      <c r="AS94" s="57" t="str">
        <f>IFERROR(ROUND(COMPUTING!H96,0), "")</f>
        <v/>
      </c>
      <c r="AT94" s="57" t="str">
        <f>IFERROR(ROUND(COMPUTING!J96,0), "")</f>
        <v/>
      </c>
      <c r="AU94" s="56" t="str">
        <f t="shared" si="37"/>
        <v/>
      </c>
      <c r="AV94" s="57" t="str" cm="1">
        <f t="array" ref="AV94">IF(AU94&lt;&gt;"", ToGrade(AU94), "")</f>
        <v/>
      </c>
      <c r="AW94" s="58" t="str">
        <f>COMPUTING!L96</f>
        <v/>
      </c>
      <c r="AX94" s="59" t="str" cm="1">
        <f t="array" ref="AX94">IF(AU94&lt;&gt;"", ToRemark(AU94), "")</f>
        <v/>
      </c>
      <c r="AY94" s="62"/>
      <c r="AZ94" s="57" t="str">
        <f>IFERROR(ROUND(HISTERY!H96,0), "")</f>
        <v/>
      </c>
      <c r="BA94" s="57" t="str">
        <f>IFERROR(ROUND(HISTERY!J96,0), "")</f>
        <v/>
      </c>
      <c r="BB94" s="56" t="str">
        <f t="shared" si="38"/>
        <v/>
      </c>
      <c r="BC94" s="57" t="str" cm="1">
        <f t="array" ref="BC94">IF(BB94&lt;&gt;"", ToGrade(BB94), "")</f>
        <v/>
      </c>
      <c r="BD94" s="58" t="str">
        <f>HISTERY!L96</f>
        <v/>
      </c>
      <c r="BE94" s="59" t="str" cm="1">
        <f t="array" ref="BE94">IF(BB94&lt;&gt;"", ToRemark(BB94), "")</f>
        <v/>
      </c>
      <c r="BF94" s="60"/>
      <c r="BG94" s="57" t="str">
        <f>IFERROR(ROUND(RME!H96,0), "")</f>
        <v/>
      </c>
      <c r="BH94" s="57" t="str">
        <f>IFERROR(ROUND(RME!J96,0), "")</f>
        <v/>
      </c>
      <c r="BI94" s="56" t="str">
        <f t="shared" si="39"/>
        <v/>
      </c>
      <c r="BJ94" s="57" t="str" cm="1">
        <f t="array" ref="BJ94">IF(BI94&lt;&gt;"", ToGrade(BI94), "")</f>
        <v/>
      </c>
      <c r="BK94" s="58" t="str">
        <f>RME!L96</f>
        <v/>
      </c>
      <c r="BL94" s="59" t="str" cm="1">
        <f t="array" ref="BL94">IF(BI94&lt;&gt;"", ToRemark(BI94), "")</f>
        <v/>
      </c>
      <c r="BM94" s="74"/>
      <c r="BN94" s="97" t="str">
        <f t="shared" si="40"/>
        <v/>
      </c>
      <c r="BO94" s="106" t="str">
        <f t="shared" si="41"/>
        <v/>
      </c>
      <c r="BP94" s="98" t="str" cm="1">
        <f t="array" ref="BP94">IFERROR(OrdinalNumber(_xlfn.RANK.EQ(BN94,$BN$3:$BN$101)), "")</f>
        <v/>
      </c>
      <c r="BQ94" s="104"/>
      <c r="BR94" s="99"/>
      <c r="BS94" s="111"/>
      <c r="BT94" s="83" t="str" cm="1">
        <f t="array" ref="BT94">IF(LEN(B94)&lt;&gt;0, GetTeacherRemark(BO94), "")</f>
        <v/>
      </c>
      <c r="BU94" s="86" t="str">
        <f t="shared" si="25"/>
        <v/>
      </c>
      <c r="BV94" s="86" t="str">
        <f t="shared" si="26"/>
        <v/>
      </c>
      <c r="BW94" s="86" t="str">
        <f t="shared" si="27"/>
        <v/>
      </c>
      <c r="BX94" s="86" t="str">
        <f t="shared" si="42"/>
        <v/>
      </c>
      <c r="BY94" s="115" t="str">
        <f t="shared" si="28"/>
        <v/>
      </c>
      <c r="BZ94" s="87" t="str">
        <f t="shared" si="29"/>
        <v/>
      </c>
      <c r="CA94" s="86" t="str">
        <f t="shared" si="30"/>
        <v/>
      </c>
      <c r="CB94" s="85"/>
    </row>
    <row r="95" spans="1:80" x14ac:dyDescent="0.25">
      <c r="A95" s="53" t="str">
        <v>93</v>
      </c>
      <c r="B95" s="54" t="str">
        <v/>
      </c>
      <c r="C95" s="55" t="str">
        <f>IFERROR(ROUND(ENGLISH!H97,0), "")</f>
        <v/>
      </c>
      <c r="D95" s="55" t="str">
        <f>IFERROR(ROUND(ENGLISH!J97,0), "")</f>
        <v/>
      </c>
      <c r="E95" s="56" t="str">
        <f t="shared" si="31"/>
        <v/>
      </c>
      <c r="F95" s="57" t="str" cm="1">
        <f t="array" ref="F95">IF(E95&lt;&gt;"", ToGrade(E95), "")</f>
        <v/>
      </c>
      <c r="G95" s="58" t="str">
        <f>ENGLISH!L97</f>
        <v/>
      </c>
      <c r="H95" s="59" t="str" cm="1">
        <f t="array" ref="H95">IF(E95&lt;&gt;"", ToRemark(E95), "")</f>
        <v/>
      </c>
      <c r="I95" s="60"/>
      <c r="J95" s="55" t="str">
        <f>IFERROR(ROUND(MATHS!H97,0), "")</f>
        <v/>
      </c>
      <c r="K95" s="55" t="str">
        <f>IFERROR(ROUND(MATHS!J97,0), "")</f>
        <v/>
      </c>
      <c r="L95" s="56" t="str">
        <f t="shared" si="32"/>
        <v/>
      </c>
      <c r="M95" s="57" t="str" cm="1">
        <f t="array" ref="M95">IF(L95&lt;&gt;"", ToGrade(L95), "")</f>
        <v/>
      </c>
      <c r="N95" s="58" t="str">
        <f>MATHS!L97</f>
        <v/>
      </c>
      <c r="O95" s="59" t="str" cm="1">
        <f t="array" ref="O95">IF(L95&lt;&gt;"", ToRemark(L95), "")</f>
        <v/>
      </c>
      <c r="P95" s="60"/>
      <c r="Q95" s="57" t="str">
        <f>IFERROR(ROUND(SCIENCE!H97,0), "")</f>
        <v/>
      </c>
      <c r="R95" s="57" t="str">
        <f>IFERROR(ROUND(SCIENCE!J97,0), "")</f>
        <v/>
      </c>
      <c r="S95" s="56" t="str">
        <f t="shared" si="33"/>
        <v/>
      </c>
      <c r="T95" s="57" t="str" cm="1">
        <f t="array" ref="T95">IF(S95&lt;&gt;"", ToGrade(S95), "")</f>
        <v/>
      </c>
      <c r="U95" s="58" t="str">
        <f>SCIENCE!L97</f>
        <v/>
      </c>
      <c r="V95" s="59" t="str" cm="1">
        <f t="array" ref="V95">IF(S95&lt;&gt;"", ToRemark(S95), "")</f>
        <v/>
      </c>
      <c r="W95" s="60"/>
      <c r="X95" s="57" t="str">
        <f>IFERROR(ROUND(OWOP!H97,0), "")</f>
        <v/>
      </c>
      <c r="Y95" s="57" t="str">
        <f>IFERROR(ROUND(OWOP!J97,0), "")</f>
        <v/>
      </c>
      <c r="Z95" s="56" t="str">
        <f t="shared" si="34"/>
        <v/>
      </c>
      <c r="AA95" s="57" t="str" cm="1">
        <f t="array" ref="AA95">IF(Z95&lt;&gt;"", ToGrade(Z95), "")</f>
        <v/>
      </c>
      <c r="AB95" s="58" t="str">
        <f>OWOP!L97</f>
        <v/>
      </c>
      <c r="AC95" s="59" t="str" cm="1">
        <f t="array" ref="AC95">IF(Z95&lt;&gt;"", ToRemark(Z95), "")</f>
        <v/>
      </c>
      <c r="AD95" s="60"/>
      <c r="AE95" s="57" t="str">
        <f>IFERROR(ROUND('C ARTS'!H97,0), "")</f>
        <v/>
      </c>
      <c r="AF95" s="57" t="str">
        <f>IFERROR(ROUND('C ARTS'!J97,0), "")</f>
        <v/>
      </c>
      <c r="AG95" s="56" t="str">
        <f t="shared" si="35"/>
        <v/>
      </c>
      <c r="AH95" s="57" t="str" cm="1">
        <f t="array" ref="AH95">IF(AG95&lt;&gt;"", ToGrade(AG95), "")</f>
        <v/>
      </c>
      <c r="AI95" s="58" t="str">
        <f>'C ARTS'!L97</f>
        <v/>
      </c>
      <c r="AJ95" s="59" t="str" cm="1">
        <f t="array" ref="AJ95">IF(AG95&lt;&gt;"", ToRemark(AG95), "")</f>
        <v/>
      </c>
      <c r="AK95" s="60"/>
      <c r="AL95" s="57" t="str">
        <f>IFERROR(ROUND('GH LANG'!H97,0), "")</f>
        <v/>
      </c>
      <c r="AM95" s="57" t="str">
        <f>IFERROR(ROUND('GH LANG'!J97,0), "")</f>
        <v/>
      </c>
      <c r="AN95" s="61" t="str">
        <f t="shared" si="36"/>
        <v/>
      </c>
      <c r="AO95" s="57" t="str" cm="1">
        <f t="array" ref="AO95">IF(AN95&lt;&gt;"", ToGrade(AN95), "")</f>
        <v/>
      </c>
      <c r="AP95" s="58" t="str">
        <f>'GH LANG'!L97</f>
        <v/>
      </c>
      <c r="AQ95" s="59" t="str" cm="1">
        <f t="array" ref="AQ95">IF(AN95&lt;&gt;"", ToRemark(AN95), "")</f>
        <v/>
      </c>
      <c r="AR95" s="60"/>
      <c r="AS95" s="57" t="str">
        <f>IFERROR(ROUND(COMPUTING!H97,0), "")</f>
        <v/>
      </c>
      <c r="AT95" s="57" t="str">
        <f>IFERROR(ROUND(COMPUTING!J97,0), "")</f>
        <v/>
      </c>
      <c r="AU95" s="56" t="str">
        <f t="shared" si="37"/>
        <v/>
      </c>
      <c r="AV95" s="57" t="str" cm="1">
        <f t="array" ref="AV95">IF(AU95&lt;&gt;"", ToGrade(AU95), "")</f>
        <v/>
      </c>
      <c r="AW95" s="58" t="str">
        <f>COMPUTING!L97</f>
        <v/>
      </c>
      <c r="AX95" s="59" t="str" cm="1">
        <f t="array" ref="AX95">IF(AU95&lt;&gt;"", ToRemark(AU95), "")</f>
        <v/>
      </c>
      <c r="AY95" s="62"/>
      <c r="AZ95" s="57" t="str">
        <f>IFERROR(ROUND(HISTERY!H97,0), "")</f>
        <v/>
      </c>
      <c r="BA95" s="57" t="str">
        <f>IFERROR(ROUND(HISTERY!J97,0), "")</f>
        <v/>
      </c>
      <c r="BB95" s="56" t="str">
        <f t="shared" si="38"/>
        <v/>
      </c>
      <c r="BC95" s="57" t="str" cm="1">
        <f t="array" ref="BC95">IF(BB95&lt;&gt;"", ToGrade(BB95), "")</f>
        <v/>
      </c>
      <c r="BD95" s="58" t="str">
        <f>HISTERY!L97</f>
        <v/>
      </c>
      <c r="BE95" s="59" t="str" cm="1">
        <f t="array" ref="BE95">IF(BB95&lt;&gt;"", ToRemark(BB95), "")</f>
        <v/>
      </c>
      <c r="BF95" s="60"/>
      <c r="BG95" s="57" t="str">
        <f>IFERROR(ROUND(RME!H97,0), "")</f>
        <v/>
      </c>
      <c r="BH95" s="57" t="str">
        <f>IFERROR(ROUND(RME!J97,0), "")</f>
        <v/>
      </c>
      <c r="BI95" s="56" t="str">
        <f t="shared" si="39"/>
        <v/>
      </c>
      <c r="BJ95" s="57" t="str" cm="1">
        <f t="array" ref="BJ95">IF(BI95&lt;&gt;"", ToGrade(BI95), "")</f>
        <v/>
      </c>
      <c r="BK95" s="58" t="str">
        <f>RME!L97</f>
        <v/>
      </c>
      <c r="BL95" s="59" t="str" cm="1">
        <f t="array" ref="BL95">IF(BI95&lt;&gt;"", ToRemark(BI95), "")</f>
        <v/>
      </c>
      <c r="BM95" s="74"/>
      <c r="BN95" s="97" t="str">
        <f t="shared" si="40"/>
        <v/>
      </c>
      <c r="BO95" s="106" t="str">
        <f t="shared" si="41"/>
        <v/>
      </c>
      <c r="BP95" s="98" t="str" cm="1">
        <f t="array" ref="BP95">IFERROR(OrdinalNumber(_xlfn.RANK.EQ(BN95,$BN$3:$BN$101)), "")</f>
        <v/>
      </c>
      <c r="BQ95" s="104"/>
      <c r="BR95" s="99"/>
      <c r="BS95" s="111"/>
      <c r="BT95" s="83" t="str" cm="1">
        <f t="array" ref="BT95">IF(LEN(B95)&lt;&gt;0, GetTeacherRemark(BO95), "")</f>
        <v/>
      </c>
      <c r="BU95" s="86" t="str">
        <f t="shared" si="25"/>
        <v/>
      </c>
      <c r="BV95" s="86" t="str">
        <f t="shared" si="26"/>
        <v/>
      </c>
      <c r="BW95" s="86" t="str">
        <f t="shared" si="27"/>
        <v/>
      </c>
      <c r="BX95" s="86" t="str">
        <f t="shared" si="42"/>
        <v/>
      </c>
      <c r="BY95" s="115" t="str">
        <f t="shared" si="28"/>
        <v/>
      </c>
      <c r="BZ95" s="87" t="str">
        <f t="shared" si="29"/>
        <v/>
      </c>
      <c r="CA95" s="86" t="str">
        <f t="shared" si="30"/>
        <v/>
      </c>
      <c r="CB95" s="85"/>
    </row>
    <row r="96" spans="1:80" x14ac:dyDescent="0.25">
      <c r="A96" s="53" t="str">
        <v>94</v>
      </c>
      <c r="B96" s="54" t="str">
        <v/>
      </c>
      <c r="C96" s="55" t="str">
        <f>IFERROR(ROUND(ENGLISH!H98,0), "")</f>
        <v/>
      </c>
      <c r="D96" s="55" t="str">
        <f>IFERROR(ROUND(ENGLISH!J98,0), "")</f>
        <v/>
      </c>
      <c r="E96" s="56" t="str">
        <f t="shared" si="31"/>
        <v/>
      </c>
      <c r="F96" s="57" t="str" cm="1">
        <f t="array" ref="F96">IF(E96&lt;&gt;"", ToGrade(E96), "")</f>
        <v/>
      </c>
      <c r="G96" s="58" t="str">
        <f>ENGLISH!L98</f>
        <v/>
      </c>
      <c r="H96" s="59" t="str" cm="1">
        <f t="array" ref="H96">IF(E96&lt;&gt;"", ToRemark(E96), "")</f>
        <v/>
      </c>
      <c r="I96" s="60"/>
      <c r="J96" s="55" t="str">
        <f>IFERROR(ROUND(MATHS!H98,0), "")</f>
        <v/>
      </c>
      <c r="K96" s="55" t="str">
        <f>IFERROR(ROUND(MATHS!J98,0), "")</f>
        <v/>
      </c>
      <c r="L96" s="56" t="str">
        <f t="shared" si="32"/>
        <v/>
      </c>
      <c r="M96" s="57" t="str" cm="1">
        <f t="array" ref="M96">IF(L96&lt;&gt;"", ToGrade(L96), "")</f>
        <v/>
      </c>
      <c r="N96" s="58" t="str">
        <f>MATHS!L98</f>
        <v/>
      </c>
      <c r="O96" s="59" t="str" cm="1">
        <f t="array" ref="O96">IF(L96&lt;&gt;"", ToRemark(L96), "")</f>
        <v/>
      </c>
      <c r="P96" s="60"/>
      <c r="Q96" s="57" t="str">
        <f>IFERROR(ROUND(SCIENCE!H98,0), "")</f>
        <v/>
      </c>
      <c r="R96" s="57" t="str">
        <f>IFERROR(ROUND(SCIENCE!J98,0), "")</f>
        <v/>
      </c>
      <c r="S96" s="56" t="str">
        <f t="shared" si="33"/>
        <v/>
      </c>
      <c r="T96" s="57" t="str" cm="1">
        <f t="array" ref="T96">IF(S96&lt;&gt;"", ToGrade(S96), "")</f>
        <v/>
      </c>
      <c r="U96" s="58" t="str">
        <f>SCIENCE!L98</f>
        <v/>
      </c>
      <c r="V96" s="59" t="str" cm="1">
        <f t="array" ref="V96">IF(S96&lt;&gt;"", ToRemark(S96), "")</f>
        <v/>
      </c>
      <c r="W96" s="60"/>
      <c r="X96" s="57" t="str">
        <f>IFERROR(ROUND(OWOP!H98,0), "")</f>
        <v/>
      </c>
      <c r="Y96" s="57" t="str">
        <f>IFERROR(ROUND(OWOP!J98,0), "")</f>
        <v/>
      </c>
      <c r="Z96" s="56" t="str">
        <f t="shared" si="34"/>
        <v/>
      </c>
      <c r="AA96" s="57" t="str" cm="1">
        <f t="array" ref="AA96">IF(Z96&lt;&gt;"", ToGrade(Z96), "")</f>
        <v/>
      </c>
      <c r="AB96" s="58" t="str">
        <f>OWOP!L98</f>
        <v/>
      </c>
      <c r="AC96" s="59" t="str" cm="1">
        <f t="array" ref="AC96">IF(Z96&lt;&gt;"", ToRemark(Z96), "")</f>
        <v/>
      </c>
      <c r="AD96" s="60"/>
      <c r="AE96" s="57" t="str">
        <f>IFERROR(ROUND('C ARTS'!H98,0), "")</f>
        <v/>
      </c>
      <c r="AF96" s="57" t="str">
        <f>IFERROR(ROUND('C ARTS'!J98,0), "")</f>
        <v/>
      </c>
      <c r="AG96" s="56" t="str">
        <f t="shared" si="35"/>
        <v/>
      </c>
      <c r="AH96" s="57" t="str" cm="1">
        <f t="array" ref="AH96">IF(AG96&lt;&gt;"", ToGrade(AG96), "")</f>
        <v/>
      </c>
      <c r="AI96" s="58" t="str">
        <f>'C ARTS'!L98</f>
        <v/>
      </c>
      <c r="AJ96" s="59" t="str" cm="1">
        <f t="array" ref="AJ96">IF(AG96&lt;&gt;"", ToRemark(AG96), "")</f>
        <v/>
      </c>
      <c r="AK96" s="60"/>
      <c r="AL96" s="57" t="str">
        <f>IFERROR(ROUND('GH LANG'!H98,0), "")</f>
        <v/>
      </c>
      <c r="AM96" s="57" t="str">
        <f>IFERROR(ROUND('GH LANG'!J98,0), "")</f>
        <v/>
      </c>
      <c r="AN96" s="61" t="str">
        <f t="shared" si="36"/>
        <v/>
      </c>
      <c r="AO96" s="57" t="str" cm="1">
        <f t="array" ref="AO96">IF(AN96&lt;&gt;"", ToGrade(AN96), "")</f>
        <v/>
      </c>
      <c r="AP96" s="58" t="str">
        <f>'GH LANG'!L98</f>
        <v/>
      </c>
      <c r="AQ96" s="59" t="str" cm="1">
        <f t="array" ref="AQ96">IF(AN96&lt;&gt;"", ToRemark(AN96), "")</f>
        <v/>
      </c>
      <c r="AR96" s="60"/>
      <c r="AS96" s="57" t="str">
        <f>IFERROR(ROUND(COMPUTING!H98,0), "")</f>
        <v/>
      </c>
      <c r="AT96" s="57" t="str">
        <f>IFERROR(ROUND(COMPUTING!J98,0), "")</f>
        <v/>
      </c>
      <c r="AU96" s="56" t="str">
        <f t="shared" si="37"/>
        <v/>
      </c>
      <c r="AV96" s="57" t="str" cm="1">
        <f t="array" ref="AV96">IF(AU96&lt;&gt;"", ToGrade(AU96), "")</f>
        <v/>
      </c>
      <c r="AW96" s="58" t="str">
        <f>COMPUTING!L98</f>
        <v/>
      </c>
      <c r="AX96" s="59" t="str" cm="1">
        <f t="array" ref="AX96">IF(AU96&lt;&gt;"", ToRemark(AU96), "")</f>
        <v/>
      </c>
      <c r="AY96" s="62"/>
      <c r="AZ96" s="57" t="str">
        <f>IFERROR(ROUND(HISTERY!H98,0), "")</f>
        <v/>
      </c>
      <c r="BA96" s="57" t="str">
        <f>IFERROR(ROUND(HISTERY!J98,0), "")</f>
        <v/>
      </c>
      <c r="BB96" s="56" t="str">
        <f t="shared" si="38"/>
        <v/>
      </c>
      <c r="BC96" s="57" t="str" cm="1">
        <f t="array" ref="BC96">IF(BB96&lt;&gt;"", ToGrade(BB96), "")</f>
        <v/>
      </c>
      <c r="BD96" s="58" t="str">
        <f>HISTERY!L98</f>
        <v/>
      </c>
      <c r="BE96" s="59" t="str" cm="1">
        <f t="array" ref="BE96">IF(BB96&lt;&gt;"", ToRemark(BB96), "")</f>
        <v/>
      </c>
      <c r="BF96" s="60"/>
      <c r="BG96" s="57" t="str">
        <f>IFERROR(ROUND(RME!H98,0), "")</f>
        <v/>
      </c>
      <c r="BH96" s="57" t="str">
        <f>IFERROR(ROUND(RME!J98,0), "")</f>
        <v/>
      </c>
      <c r="BI96" s="56" t="str">
        <f t="shared" si="39"/>
        <v/>
      </c>
      <c r="BJ96" s="57" t="str" cm="1">
        <f t="array" ref="BJ96">IF(BI96&lt;&gt;"", ToGrade(BI96), "")</f>
        <v/>
      </c>
      <c r="BK96" s="58" t="str">
        <f>RME!L98</f>
        <v/>
      </c>
      <c r="BL96" s="59" t="str" cm="1">
        <f t="array" ref="BL96">IF(BI96&lt;&gt;"", ToRemark(BI96), "")</f>
        <v/>
      </c>
      <c r="BM96" s="74"/>
      <c r="BN96" s="97" t="str">
        <f t="shared" si="40"/>
        <v/>
      </c>
      <c r="BO96" s="106" t="str">
        <f t="shared" si="41"/>
        <v/>
      </c>
      <c r="BP96" s="98" t="str" cm="1">
        <f t="array" ref="BP96">IFERROR(OrdinalNumber(_xlfn.RANK.EQ(BN96,$BN$3:$BN$101)), "")</f>
        <v/>
      </c>
      <c r="BQ96" s="104"/>
      <c r="BR96" s="99"/>
      <c r="BS96" s="111"/>
      <c r="BT96" s="83" t="str" cm="1">
        <f t="array" ref="BT96">IF(LEN(B96)&lt;&gt;0, GetTeacherRemark(BO96), "")</f>
        <v/>
      </c>
      <c r="BU96" s="86" t="str">
        <f t="shared" si="25"/>
        <v/>
      </c>
      <c r="BV96" s="86" t="str">
        <f t="shared" si="26"/>
        <v/>
      </c>
      <c r="BW96" s="86" t="str">
        <f t="shared" si="27"/>
        <v/>
      </c>
      <c r="BX96" s="86" t="str">
        <f t="shared" si="42"/>
        <v/>
      </c>
      <c r="BY96" s="115" t="str">
        <f t="shared" si="28"/>
        <v/>
      </c>
      <c r="BZ96" s="87" t="str">
        <f t="shared" si="29"/>
        <v/>
      </c>
      <c r="CA96" s="86" t="str">
        <f t="shared" si="30"/>
        <v/>
      </c>
      <c r="CB96" s="85"/>
    </row>
    <row r="97" spans="1:80" x14ac:dyDescent="0.25">
      <c r="A97" s="53" t="str">
        <v>95</v>
      </c>
      <c r="B97" s="54" t="str">
        <v/>
      </c>
      <c r="C97" s="55" t="str">
        <f>IFERROR(ROUND(ENGLISH!H99,0), "")</f>
        <v/>
      </c>
      <c r="D97" s="55" t="str">
        <f>IFERROR(ROUND(ENGLISH!J99,0), "")</f>
        <v/>
      </c>
      <c r="E97" s="56" t="str">
        <f t="shared" si="31"/>
        <v/>
      </c>
      <c r="F97" s="57" t="str" cm="1">
        <f t="array" ref="F97">IF(E97&lt;&gt;"", ToGrade(E97), "")</f>
        <v/>
      </c>
      <c r="G97" s="58" t="str">
        <f>ENGLISH!L99</f>
        <v/>
      </c>
      <c r="H97" s="59" t="str" cm="1">
        <f t="array" ref="H97">IF(E97&lt;&gt;"", ToRemark(E97), "")</f>
        <v/>
      </c>
      <c r="I97" s="60"/>
      <c r="J97" s="55" t="str">
        <f>IFERROR(ROUND(MATHS!H99,0), "")</f>
        <v/>
      </c>
      <c r="K97" s="55" t="str">
        <f>IFERROR(ROUND(MATHS!J99,0), "")</f>
        <v/>
      </c>
      <c r="L97" s="56" t="str">
        <f t="shared" si="32"/>
        <v/>
      </c>
      <c r="M97" s="57" t="str" cm="1">
        <f t="array" ref="M97">IF(L97&lt;&gt;"", ToGrade(L97), "")</f>
        <v/>
      </c>
      <c r="N97" s="58" t="str">
        <f>MATHS!L99</f>
        <v/>
      </c>
      <c r="O97" s="59" t="str" cm="1">
        <f t="array" ref="O97">IF(L97&lt;&gt;"", ToRemark(L97), "")</f>
        <v/>
      </c>
      <c r="P97" s="60"/>
      <c r="Q97" s="57" t="str">
        <f>IFERROR(ROUND(SCIENCE!H99,0), "")</f>
        <v/>
      </c>
      <c r="R97" s="57" t="str">
        <f>IFERROR(ROUND(SCIENCE!J99,0), "")</f>
        <v/>
      </c>
      <c r="S97" s="56" t="str">
        <f t="shared" si="33"/>
        <v/>
      </c>
      <c r="T97" s="57" t="str" cm="1">
        <f t="array" ref="T97">IF(S97&lt;&gt;"", ToGrade(S97), "")</f>
        <v/>
      </c>
      <c r="U97" s="58" t="str">
        <f>SCIENCE!L99</f>
        <v/>
      </c>
      <c r="V97" s="59" t="str" cm="1">
        <f t="array" ref="V97">IF(S97&lt;&gt;"", ToRemark(S97), "")</f>
        <v/>
      </c>
      <c r="W97" s="60"/>
      <c r="X97" s="57" t="str">
        <f>IFERROR(ROUND(OWOP!H99,0), "")</f>
        <v/>
      </c>
      <c r="Y97" s="57" t="str">
        <f>IFERROR(ROUND(OWOP!J99,0), "")</f>
        <v/>
      </c>
      <c r="Z97" s="56" t="str">
        <f t="shared" si="34"/>
        <v/>
      </c>
      <c r="AA97" s="57" t="str" cm="1">
        <f t="array" ref="AA97">IF(Z97&lt;&gt;"", ToGrade(Z97), "")</f>
        <v/>
      </c>
      <c r="AB97" s="58" t="str">
        <f>OWOP!L99</f>
        <v/>
      </c>
      <c r="AC97" s="59" t="str" cm="1">
        <f t="array" ref="AC97">IF(Z97&lt;&gt;"", ToRemark(Z97), "")</f>
        <v/>
      </c>
      <c r="AD97" s="60"/>
      <c r="AE97" s="57" t="str">
        <f>IFERROR(ROUND('C ARTS'!H99,0), "")</f>
        <v/>
      </c>
      <c r="AF97" s="57" t="str">
        <f>IFERROR(ROUND('C ARTS'!J99,0), "")</f>
        <v/>
      </c>
      <c r="AG97" s="56" t="str">
        <f t="shared" si="35"/>
        <v/>
      </c>
      <c r="AH97" s="57" t="str" cm="1">
        <f t="array" ref="AH97">IF(AG97&lt;&gt;"", ToGrade(AG97), "")</f>
        <v/>
      </c>
      <c r="AI97" s="58" t="str">
        <f>'C ARTS'!L99</f>
        <v/>
      </c>
      <c r="AJ97" s="59" t="str" cm="1">
        <f t="array" ref="AJ97">IF(AG97&lt;&gt;"", ToRemark(AG97), "")</f>
        <v/>
      </c>
      <c r="AK97" s="60"/>
      <c r="AL97" s="57" t="str">
        <f>IFERROR(ROUND('GH LANG'!H99,0), "")</f>
        <v/>
      </c>
      <c r="AM97" s="57" t="str">
        <f>IFERROR(ROUND('GH LANG'!J99,0), "")</f>
        <v/>
      </c>
      <c r="AN97" s="61" t="str">
        <f t="shared" si="36"/>
        <v/>
      </c>
      <c r="AO97" s="57" t="str" cm="1">
        <f t="array" ref="AO97">IF(AN97&lt;&gt;"", ToGrade(AN97), "")</f>
        <v/>
      </c>
      <c r="AP97" s="58" t="str">
        <f>'GH LANG'!L99</f>
        <v/>
      </c>
      <c r="AQ97" s="59" t="str" cm="1">
        <f t="array" ref="AQ97">IF(AN97&lt;&gt;"", ToRemark(AN97), "")</f>
        <v/>
      </c>
      <c r="AR97" s="60"/>
      <c r="AS97" s="57" t="str">
        <f>IFERROR(ROUND(COMPUTING!H99,0), "")</f>
        <v/>
      </c>
      <c r="AT97" s="57" t="str">
        <f>IFERROR(ROUND(COMPUTING!J99,0), "")</f>
        <v/>
      </c>
      <c r="AU97" s="56" t="str">
        <f t="shared" si="37"/>
        <v/>
      </c>
      <c r="AV97" s="57" t="str" cm="1">
        <f t="array" ref="AV97">IF(AU97&lt;&gt;"", ToGrade(AU97), "")</f>
        <v/>
      </c>
      <c r="AW97" s="58" t="str">
        <f>COMPUTING!L99</f>
        <v/>
      </c>
      <c r="AX97" s="59" t="str" cm="1">
        <f t="array" ref="AX97">IF(AU97&lt;&gt;"", ToRemark(AU97), "")</f>
        <v/>
      </c>
      <c r="AY97" s="62"/>
      <c r="AZ97" s="57" t="str">
        <f>IFERROR(ROUND(HISTERY!H99,0), "")</f>
        <v/>
      </c>
      <c r="BA97" s="57" t="str">
        <f>IFERROR(ROUND(HISTERY!J99,0), "")</f>
        <v/>
      </c>
      <c r="BB97" s="56" t="str">
        <f t="shared" si="38"/>
        <v/>
      </c>
      <c r="BC97" s="57" t="str" cm="1">
        <f t="array" ref="BC97">IF(BB97&lt;&gt;"", ToGrade(BB97), "")</f>
        <v/>
      </c>
      <c r="BD97" s="58" t="str">
        <f>HISTERY!L99</f>
        <v/>
      </c>
      <c r="BE97" s="59" t="str" cm="1">
        <f t="array" ref="BE97">IF(BB97&lt;&gt;"", ToRemark(BB97), "")</f>
        <v/>
      </c>
      <c r="BF97" s="60"/>
      <c r="BG97" s="57" t="str">
        <f>IFERROR(ROUND(RME!H99,0), "")</f>
        <v/>
      </c>
      <c r="BH97" s="57" t="str">
        <f>IFERROR(ROUND(RME!J99,0), "")</f>
        <v/>
      </c>
      <c r="BI97" s="56" t="str">
        <f t="shared" si="39"/>
        <v/>
      </c>
      <c r="BJ97" s="57" t="str" cm="1">
        <f t="array" ref="BJ97">IF(BI97&lt;&gt;"", ToGrade(BI97), "")</f>
        <v/>
      </c>
      <c r="BK97" s="58" t="str">
        <f>RME!L99</f>
        <v/>
      </c>
      <c r="BL97" s="59" t="str" cm="1">
        <f t="array" ref="BL97">IF(BI97&lt;&gt;"", ToRemark(BI97), "")</f>
        <v/>
      </c>
      <c r="BM97" s="74"/>
      <c r="BN97" s="97" t="str">
        <f t="shared" si="40"/>
        <v/>
      </c>
      <c r="BO97" s="106" t="str">
        <f t="shared" si="41"/>
        <v/>
      </c>
      <c r="BP97" s="98" t="str" cm="1">
        <f t="array" ref="BP97">IFERROR(OrdinalNumber(_xlfn.RANK.EQ(BN97,$BN$3:$BN$101)), "")</f>
        <v/>
      </c>
      <c r="BQ97" s="104"/>
      <c r="BR97" s="99"/>
      <c r="BS97" s="111"/>
      <c r="BT97" s="83" t="str" cm="1">
        <f t="array" ref="BT97">IF(LEN(B97)&lt;&gt;0, GetTeacherRemark(BO97), "")</f>
        <v/>
      </c>
      <c r="BU97" s="86" t="str">
        <f t="shared" si="25"/>
        <v/>
      </c>
      <c r="BV97" s="86" t="str">
        <f t="shared" si="26"/>
        <v/>
      </c>
      <c r="BW97" s="86" t="str">
        <f t="shared" si="27"/>
        <v/>
      </c>
      <c r="BX97" s="86" t="str">
        <f t="shared" si="42"/>
        <v/>
      </c>
      <c r="BY97" s="115" t="str">
        <f t="shared" si="28"/>
        <v/>
      </c>
      <c r="BZ97" s="87" t="str">
        <f t="shared" si="29"/>
        <v/>
      </c>
      <c r="CA97" s="86" t="str">
        <f t="shared" si="30"/>
        <v/>
      </c>
      <c r="CB97" s="85"/>
    </row>
    <row r="98" spans="1:80" x14ac:dyDescent="0.25">
      <c r="A98" s="53" t="str">
        <v>96</v>
      </c>
      <c r="B98" s="54" t="str">
        <v/>
      </c>
      <c r="C98" s="55" t="str">
        <f>IFERROR(ROUND(ENGLISH!H100,0), "")</f>
        <v/>
      </c>
      <c r="D98" s="55" t="str">
        <f>IFERROR(ROUND(ENGLISH!J100,0), "")</f>
        <v/>
      </c>
      <c r="E98" s="56" t="str">
        <f t="shared" si="31"/>
        <v/>
      </c>
      <c r="F98" s="57" t="str" cm="1">
        <f t="array" ref="F98">IF(E98&lt;&gt;"", ToGrade(E98), "")</f>
        <v/>
      </c>
      <c r="G98" s="58" t="str">
        <f>ENGLISH!L100</f>
        <v/>
      </c>
      <c r="H98" s="59" t="str" cm="1">
        <f t="array" ref="H98">IF(E98&lt;&gt;"", ToRemark(E98), "")</f>
        <v/>
      </c>
      <c r="I98" s="60"/>
      <c r="J98" s="55" t="str">
        <f>IFERROR(ROUND(MATHS!H100,0), "")</f>
        <v/>
      </c>
      <c r="K98" s="55" t="str">
        <f>IFERROR(ROUND(MATHS!J100,0), "")</f>
        <v/>
      </c>
      <c r="L98" s="56" t="str">
        <f t="shared" si="32"/>
        <v/>
      </c>
      <c r="M98" s="57" t="str" cm="1">
        <f t="array" ref="M98">IF(L98&lt;&gt;"", ToGrade(L98), "")</f>
        <v/>
      </c>
      <c r="N98" s="58" t="str">
        <f>MATHS!L100</f>
        <v/>
      </c>
      <c r="O98" s="59" t="str" cm="1">
        <f t="array" ref="O98">IF(L98&lt;&gt;"", ToRemark(L98), "")</f>
        <v/>
      </c>
      <c r="P98" s="60"/>
      <c r="Q98" s="57" t="str">
        <f>IFERROR(ROUND(SCIENCE!H100,0), "")</f>
        <v/>
      </c>
      <c r="R98" s="57" t="str">
        <f>IFERROR(ROUND(SCIENCE!J100,0), "")</f>
        <v/>
      </c>
      <c r="S98" s="56" t="str">
        <f t="shared" si="33"/>
        <v/>
      </c>
      <c r="T98" s="57" t="str" cm="1">
        <f t="array" ref="T98">IF(S98&lt;&gt;"", ToGrade(S98), "")</f>
        <v/>
      </c>
      <c r="U98" s="58" t="str">
        <f>SCIENCE!L100</f>
        <v/>
      </c>
      <c r="V98" s="59" t="str" cm="1">
        <f t="array" ref="V98">IF(S98&lt;&gt;"", ToRemark(S98), "")</f>
        <v/>
      </c>
      <c r="W98" s="60"/>
      <c r="X98" s="57" t="str">
        <f>IFERROR(ROUND(OWOP!H100,0), "")</f>
        <v/>
      </c>
      <c r="Y98" s="57" t="str">
        <f>IFERROR(ROUND(OWOP!J100,0), "")</f>
        <v/>
      </c>
      <c r="Z98" s="56" t="str">
        <f t="shared" si="34"/>
        <v/>
      </c>
      <c r="AA98" s="57" t="str" cm="1">
        <f t="array" ref="AA98">IF(Z98&lt;&gt;"", ToGrade(Z98), "")</f>
        <v/>
      </c>
      <c r="AB98" s="58" t="str">
        <f>OWOP!L100</f>
        <v/>
      </c>
      <c r="AC98" s="59" t="str" cm="1">
        <f t="array" ref="AC98">IF(Z98&lt;&gt;"", ToRemark(Z98), "")</f>
        <v/>
      </c>
      <c r="AD98" s="60"/>
      <c r="AE98" s="57" t="str">
        <f>IFERROR(ROUND('C ARTS'!H100,0), "")</f>
        <v/>
      </c>
      <c r="AF98" s="57" t="str">
        <f>IFERROR(ROUND('C ARTS'!J100,0), "")</f>
        <v/>
      </c>
      <c r="AG98" s="56" t="str">
        <f t="shared" si="35"/>
        <v/>
      </c>
      <c r="AH98" s="57" t="str" cm="1">
        <f t="array" ref="AH98">IF(AG98&lt;&gt;"", ToGrade(AG98), "")</f>
        <v/>
      </c>
      <c r="AI98" s="58" t="str">
        <f>'C ARTS'!L100</f>
        <v/>
      </c>
      <c r="AJ98" s="59" t="str" cm="1">
        <f t="array" ref="AJ98">IF(AG98&lt;&gt;"", ToRemark(AG98), "")</f>
        <v/>
      </c>
      <c r="AK98" s="60"/>
      <c r="AL98" s="57" t="str">
        <f>IFERROR(ROUND('GH LANG'!H100,0), "")</f>
        <v/>
      </c>
      <c r="AM98" s="57" t="str">
        <f>IFERROR(ROUND('GH LANG'!J100,0), "")</f>
        <v/>
      </c>
      <c r="AN98" s="61" t="str">
        <f t="shared" si="36"/>
        <v/>
      </c>
      <c r="AO98" s="57" t="str" cm="1">
        <f t="array" ref="AO98">IF(AN98&lt;&gt;"", ToGrade(AN98), "")</f>
        <v/>
      </c>
      <c r="AP98" s="58" t="str">
        <f>'GH LANG'!L100</f>
        <v/>
      </c>
      <c r="AQ98" s="59" t="str" cm="1">
        <f t="array" ref="AQ98">IF(AN98&lt;&gt;"", ToRemark(AN98), "")</f>
        <v/>
      </c>
      <c r="AR98" s="60"/>
      <c r="AS98" s="57" t="str">
        <f>IFERROR(ROUND(COMPUTING!H100,0), "")</f>
        <v/>
      </c>
      <c r="AT98" s="57" t="str">
        <f>IFERROR(ROUND(COMPUTING!J100,0), "")</f>
        <v/>
      </c>
      <c r="AU98" s="56" t="str">
        <f t="shared" si="37"/>
        <v/>
      </c>
      <c r="AV98" s="57" t="str" cm="1">
        <f t="array" ref="AV98">IF(AU98&lt;&gt;"", ToGrade(AU98), "")</f>
        <v/>
      </c>
      <c r="AW98" s="58" t="str">
        <f>COMPUTING!L100</f>
        <v/>
      </c>
      <c r="AX98" s="59" t="str" cm="1">
        <f t="array" ref="AX98">IF(AU98&lt;&gt;"", ToRemark(AU98), "")</f>
        <v/>
      </c>
      <c r="AY98" s="62"/>
      <c r="AZ98" s="57" t="str">
        <f>IFERROR(ROUND(HISTERY!H100,0), "")</f>
        <v/>
      </c>
      <c r="BA98" s="57" t="str">
        <f>IFERROR(ROUND(HISTERY!J100,0), "")</f>
        <v/>
      </c>
      <c r="BB98" s="56" t="str">
        <f t="shared" si="38"/>
        <v/>
      </c>
      <c r="BC98" s="57" t="str" cm="1">
        <f t="array" ref="BC98">IF(BB98&lt;&gt;"", ToGrade(BB98), "")</f>
        <v/>
      </c>
      <c r="BD98" s="58" t="str">
        <f>HISTERY!L100</f>
        <v/>
      </c>
      <c r="BE98" s="59" t="str" cm="1">
        <f t="array" ref="BE98">IF(BB98&lt;&gt;"", ToRemark(BB98), "")</f>
        <v/>
      </c>
      <c r="BF98" s="60"/>
      <c r="BG98" s="57" t="str">
        <f>IFERROR(ROUND(RME!H100,0), "")</f>
        <v/>
      </c>
      <c r="BH98" s="57" t="str">
        <f>IFERROR(ROUND(RME!J100,0), "")</f>
        <v/>
      </c>
      <c r="BI98" s="56" t="str">
        <f t="shared" si="39"/>
        <v/>
      </c>
      <c r="BJ98" s="57" t="str" cm="1">
        <f t="array" ref="BJ98">IF(BI98&lt;&gt;"", ToGrade(BI98), "")</f>
        <v/>
      </c>
      <c r="BK98" s="58" t="str">
        <f>RME!L100</f>
        <v/>
      </c>
      <c r="BL98" s="59" t="str" cm="1">
        <f t="array" ref="BL98">IF(BI98&lt;&gt;"", ToRemark(BI98), "")</f>
        <v/>
      </c>
      <c r="BM98" s="74"/>
      <c r="BN98" s="97" t="str">
        <f t="shared" si="40"/>
        <v/>
      </c>
      <c r="BO98" s="106" t="str">
        <f t="shared" si="41"/>
        <v/>
      </c>
      <c r="BP98" s="98" t="str" cm="1">
        <f t="array" ref="BP98">IFERROR(OrdinalNumber(_xlfn.RANK.EQ(BN98,$BN$3:$BN$101)), "")</f>
        <v/>
      </c>
      <c r="BQ98" s="104"/>
      <c r="BR98" s="99"/>
      <c r="BS98" s="111"/>
      <c r="BT98" s="83" t="str" cm="1">
        <f t="array" ref="BT98">IF(LEN(B98)&lt;&gt;0, GetTeacherRemark(BO98), "")</f>
        <v/>
      </c>
      <c r="BU98" s="86" t="str">
        <f t="shared" si="25"/>
        <v/>
      </c>
      <c r="BV98" s="86" t="str">
        <f t="shared" si="26"/>
        <v/>
      </c>
      <c r="BW98" s="86" t="str">
        <f t="shared" si="27"/>
        <v/>
      </c>
      <c r="BX98" s="86" t="str">
        <f t="shared" si="42"/>
        <v/>
      </c>
      <c r="BY98" s="115" t="str">
        <f t="shared" si="28"/>
        <v/>
      </c>
      <c r="BZ98" s="87" t="str">
        <f t="shared" si="29"/>
        <v/>
      </c>
      <c r="CA98" s="86" t="str">
        <f t="shared" si="30"/>
        <v/>
      </c>
      <c r="CB98" s="85"/>
    </row>
    <row r="99" spans="1:80" x14ac:dyDescent="0.25">
      <c r="A99" s="53" t="str">
        <v>97</v>
      </c>
      <c r="B99" s="54" t="str">
        <v/>
      </c>
      <c r="C99" s="55" t="str">
        <f>IFERROR(ROUND(ENGLISH!H101,0), "")</f>
        <v/>
      </c>
      <c r="D99" s="55" t="str">
        <f>IFERROR(ROUND(ENGLISH!J101,0), "")</f>
        <v/>
      </c>
      <c r="E99" s="56" t="str">
        <f t="shared" si="31"/>
        <v/>
      </c>
      <c r="F99" s="57" t="str" cm="1">
        <f t="array" ref="F99">IF(E99&lt;&gt;"", ToGrade(E99), "")</f>
        <v/>
      </c>
      <c r="G99" s="58" t="str">
        <f>ENGLISH!L101</f>
        <v/>
      </c>
      <c r="H99" s="59" t="str" cm="1">
        <f t="array" ref="H99">IF(E99&lt;&gt;"", ToRemark(E99), "")</f>
        <v/>
      </c>
      <c r="I99" s="60"/>
      <c r="J99" s="55" t="str">
        <f>IFERROR(ROUND(MATHS!H101,0), "")</f>
        <v/>
      </c>
      <c r="K99" s="55" t="str">
        <f>IFERROR(ROUND(MATHS!J101,0), "")</f>
        <v/>
      </c>
      <c r="L99" s="56" t="str">
        <f t="shared" si="32"/>
        <v/>
      </c>
      <c r="M99" s="57" t="str" cm="1">
        <f t="array" ref="M99">IF(L99&lt;&gt;"", ToGrade(L99), "")</f>
        <v/>
      </c>
      <c r="N99" s="58" t="str">
        <f>MATHS!L101</f>
        <v/>
      </c>
      <c r="O99" s="59" t="str" cm="1">
        <f t="array" ref="O99">IF(L99&lt;&gt;"", ToRemark(L99), "")</f>
        <v/>
      </c>
      <c r="P99" s="60"/>
      <c r="Q99" s="57" t="str">
        <f>IFERROR(ROUND(SCIENCE!H101,0), "")</f>
        <v/>
      </c>
      <c r="R99" s="57" t="str">
        <f>IFERROR(ROUND(SCIENCE!J101,0), "")</f>
        <v/>
      </c>
      <c r="S99" s="56" t="str">
        <f t="shared" si="33"/>
        <v/>
      </c>
      <c r="T99" s="57" t="str" cm="1">
        <f t="array" ref="T99">IF(S99&lt;&gt;"", ToGrade(S99), "")</f>
        <v/>
      </c>
      <c r="U99" s="58" t="str">
        <f>SCIENCE!L101</f>
        <v/>
      </c>
      <c r="V99" s="59" t="str" cm="1">
        <f t="array" ref="V99">IF(S99&lt;&gt;"", ToRemark(S99), "")</f>
        <v/>
      </c>
      <c r="W99" s="60"/>
      <c r="X99" s="57" t="str">
        <f>IFERROR(ROUND(OWOP!H101,0), "")</f>
        <v/>
      </c>
      <c r="Y99" s="57" t="str">
        <f>IFERROR(ROUND(OWOP!J101,0), "")</f>
        <v/>
      </c>
      <c r="Z99" s="56" t="str">
        <f t="shared" si="34"/>
        <v/>
      </c>
      <c r="AA99" s="57" t="str" cm="1">
        <f t="array" ref="AA99">IF(Z99&lt;&gt;"", ToGrade(Z99), "")</f>
        <v/>
      </c>
      <c r="AB99" s="58" t="str">
        <f>OWOP!L101</f>
        <v/>
      </c>
      <c r="AC99" s="59" t="str" cm="1">
        <f t="array" ref="AC99">IF(Z99&lt;&gt;"", ToRemark(Z99), "")</f>
        <v/>
      </c>
      <c r="AD99" s="60"/>
      <c r="AE99" s="57" t="str">
        <f>IFERROR(ROUND('C ARTS'!H101,0), "")</f>
        <v/>
      </c>
      <c r="AF99" s="57" t="str">
        <f>IFERROR(ROUND('C ARTS'!J101,0), "")</f>
        <v/>
      </c>
      <c r="AG99" s="56" t="str">
        <f t="shared" si="35"/>
        <v/>
      </c>
      <c r="AH99" s="57" t="str" cm="1">
        <f t="array" ref="AH99">IF(AG99&lt;&gt;"", ToGrade(AG99), "")</f>
        <v/>
      </c>
      <c r="AI99" s="58" t="str">
        <f>'C ARTS'!L101</f>
        <v/>
      </c>
      <c r="AJ99" s="59" t="str" cm="1">
        <f t="array" ref="AJ99">IF(AG99&lt;&gt;"", ToRemark(AG99), "")</f>
        <v/>
      </c>
      <c r="AK99" s="60"/>
      <c r="AL99" s="57" t="str">
        <f>IFERROR(ROUND('GH LANG'!H101,0), "")</f>
        <v/>
      </c>
      <c r="AM99" s="57" t="str">
        <f>IFERROR(ROUND('GH LANG'!J101,0), "")</f>
        <v/>
      </c>
      <c r="AN99" s="61" t="str">
        <f t="shared" si="36"/>
        <v/>
      </c>
      <c r="AO99" s="57" t="str" cm="1">
        <f t="array" ref="AO99">IF(AN99&lt;&gt;"", ToGrade(AN99), "")</f>
        <v/>
      </c>
      <c r="AP99" s="58" t="str">
        <f>'GH LANG'!L101</f>
        <v/>
      </c>
      <c r="AQ99" s="59" t="str" cm="1">
        <f t="array" ref="AQ99">IF(AN99&lt;&gt;"", ToRemark(AN99), "")</f>
        <v/>
      </c>
      <c r="AR99" s="60"/>
      <c r="AS99" s="57" t="str">
        <f>IFERROR(ROUND(COMPUTING!H101,0), "")</f>
        <v/>
      </c>
      <c r="AT99" s="57" t="str">
        <f>IFERROR(ROUND(COMPUTING!J101,0), "")</f>
        <v/>
      </c>
      <c r="AU99" s="56" t="str">
        <f t="shared" si="37"/>
        <v/>
      </c>
      <c r="AV99" s="57" t="str" cm="1">
        <f t="array" ref="AV99">IF(AU99&lt;&gt;"", ToGrade(AU99), "")</f>
        <v/>
      </c>
      <c r="AW99" s="58" t="str">
        <f>COMPUTING!L101</f>
        <v/>
      </c>
      <c r="AX99" s="59" t="str" cm="1">
        <f t="array" ref="AX99">IF(AU99&lt;&gt;"", ToRemark(AU99), "")</f>
        <v/>
      </c>
      <c r="AY99" s="62"/>
      <c r="AZ99" s="57" t="str">
        <f>IFERROR(ROUND(HISTERY!H101,0), "")</f>
        <v/>
      </c>
      <c r="BA99" s="57" t="str">
        <f>IFERROR(ROUND(HISTERY!J101,0), "")</f>
        <v/>
      </c>
      <c r="BB99" s="56" t="str">
        <f t="shared" si="38"/>
        <v/>
      </c>
      <c r="BC99" s="57" t="str" cm="1">
        <f t="array" ref="BC99">IF(BB99&lt;&gt;"", ToGrade(BB99), "")</f>
        <v/>
      </c>
      <c r="BD99" s="58" t="str">
        <f>HISTERY!L101</f>
        <v/>
      </c>
      <c r="BE99" s="59" t="str" cm="1">
        <f t="array" ref="BE99">IF(BB99&lt;&gt;"", ToRemark(BB99), "")</f>
        <v/>
      </c>
      <c r="BF99" s="60"/>
      <c r="BG99" s="57" t="str">
        <f>IFERROR(ROUND(RME!H101,0), "")</f>
        <v/>
      </c>
      <c r="BH99" s="57" t="str">
        <f>IFERROR(ROUND(RME!J101,0), "")</f>
        <v/>
      </c>
      <c r="BI99" s="56" t="str">
        <f t="shared" si="39"/>
        <v/>
      </c>
      <c r="BJ99" s="57" t="str" cm="1">
        <f t="array" ref="BJ99">IF(BI99&lt;&gt;"", ToGrade(BI99), "")</f>
        <v/>
      </c>
      <c r="BK99" s="58" t="str">
        <f>RME!L101</f>
        <v/>
      </c>
      <c r="BL99" s="59" t="str" cm="1">
        <f t="array" ref="BL99">IF(BI99&lt;&gt;"", ToRemark(BI99), "")</f>
        <v/>
      </c>
      <c r="BM99" s="74"/>
      <c r="BN99" s="97" t="str">
        <f t="shared" si="40"/>
        <v/>
      </c>
      <c r="BO99" s="106" t="str">
        <f t="shared" si="41"/>
        <v/>
      </c>
      <c r="BP99" s="98" t="str" cm="1">
        <f t="array" ref="BP99">IFERROR(OrdinalNumber(_xlfn.RANK.EQ(BN99,$BN$3:$BN$101)), "")</f>
        <v/>
      </c>
      <c r="BQ99" s="104"/>
      <c r="BR99" s="99"/>
      <c r="BS99" s="111"/>
      <c r="BT99" s="83" t="str" cm="1">
        <f t="array" ref="BT99">IF(LEN(B99)&lt;&gt;0, GetTeacherRemark(BO99), "")</f>
        <v/>
      </c>
      <c r="BU99" s="86" t="str">
        <f t="shared" si="25"/>
        <v/>
      </c>
      <c r="BV99" s="86" t="str">
        <f t="shared" si="26"/>
        <v/>
      </c>
      <c r="BW99" s="86" t="str">
        <f t="shared" si="27"/>
        <v/>
      </c>
      <c r="BX99" s="86" t="str">
        <f t="shared" si="42"/>
        <v/>
      </c>
      <c r="BY99" s="115" t="str">
        <f t="shared" si="28"/>
        <v/>
      </c>
      <c r="BZ99" s="87" t="str">
        <f t="shared" si="29"/>
        <v/>
      </c>
      <c r="CA99" s="86" t="str">
        <f t="shared" si="30"/>
        <v/>
      </c>
      <c r="CB99" s="85"/>
    </row>
    <row r="100" spans="1:80" x14ac:dyDescent="0.25">
      <c r="A100" s="53" t="str">
        <v>98</v>
      </c>
      <c r="B100" s="54" t="str">
        <v/>
      </c>
      <c r="C100" s="55" t="str">
        <f>IFERROR(ROUND(ENGLISH!H102,0), "")</f>
        <v/>
      </c>
      <c r="D100" s="55" t="str">
        <f>IFERROR(ROUND(ENGLISH!J102,0), "")</f>
        <v/>
      </c>
      <c r="E100" s="56" t="str">
        <f t="shared" si="31"/>
        <v/>
      </c>
      <c r="F100" s="57" t="str" cm="1">
        <f t="array" ref="F100">IF(E100&lt;&gt;"", ToGrade(E100), "")</f>
        <v/>
      </c>
      <c r="G100" s="58" t="str">
        <f>ENGLISH!L102</f>
        <v/>
      </c>
      <c r="H100" s="59" t="str" cm="1">
        <f t="array" ref="H100">IF(E100&lt;&gt;"", ToRemark(E100), "")</f>
        <v/>
      </c>
      <c r="I100" s="60"/>
      <c r="J100" s="55" t="str">
        <f>IFERROR(ROUND(MATHS!H102,0), "")</f>
        <v/>
      </c>
      <c r="K100" s="55" t="str">
        <f>IFERROR(ROUND(MATHS!J102,0), "")</f>
        <v/>
      </c>
      <c r="L100" s="56" t="str">
        <f t="shared" si="32"/>
        <v/>
      </c>
      <c r="M100" s="57" t="str" cm="1">
        <f t="array" ref="M100">IF(L100&lt;&gt;"", ToGrade(L100), "")</f>
        <v/>
      </c>
      <c r="N100" s="58" t="str">
        <f>MATHS!L102</f>
        <v/>
      </c>
      <c r="O100" s="59" t="str" cm="1">
        <f t="array" ref="O100">IF(L100&lt;&gt;"", ToRemark(L100), "")</f>
        <v/>
      </c>
      <c r="P100" s="60"/>
      <c r="Q100" s="57" t="str">
        <f>IFERROR(ROUND(SCIENCE!H102,0), "")</f>
        <v/>
      </c>
      <c r="R100" s="57" t="str">
        <f>IFERROR(ROUND(SCIENCE!J102,0), "")</f>
        <v/>
      </c>
      <c r="S100" s="56" t="str">
        <f t="shared" si="33"/>
        <v/>
      </c>
      <c r="T100" s="57" t="str" cm="1">
        <f t="array" ref="T100">IF(S100&lt;&gt;"", ToGrade(S100), "")</f>
        <v/>
      </c>
      <c r="U100" s="58" t="str">
        <f>SCIENCE!L102</f>
        <v/>
      </c>
      <c r="V100" s="59" t="str" cm="1">
        <f t="array" ref="V100">IF(S100&lt;&gt;"", ToRemark(S100), "")</f>
        <v/>
      </c>
      <c r="W100" s="60"/>
      <c r="X100" s="57" t="str">
        <f>IFERROR(ROUND(OWOP!H102,0), "")</f>
        <v/>
      </c>
      <c r="Y100" s="57" t="str">
        <f>IFERROR(ROUND(OWOP!J102,0), "")</f>
        <v/>
      </c>
      <c r="Z100" s="56" t="str">
        <f t="shared" si="34"/>
        <v/>
      </c>
      <c r="AA100" s="57" t="str" cm="1">
        <f t="array" ref="AA100">IF(Z100&lt;&gt;"", ToGrade(Z100), "")</f>
        <v/>
      </c>
      <c r="AB100" s="58" t="str">
        <f>OWOP!L102</f>
        <v/>
      </c>
      <c r="AC100" s="59" t="str" cm="1">
        <f t="array" ref="AC100">IF(Z100&lt;&gt;"", ToRemark(Z100), "")</f>
        <v/>
      </c>
      <c r="AD100" s="60"/>
      <c r="AE100" s="57" t="str">
        <f>IFERROR(ROUND('C ARTS'!H102,0), "")</f>
        <v/>
      </c>
      <c r="AF100" s="57" t="str">
        <f>IFERROR(ROUND('C ARTS'!J102,0), "")</f>
        <v/>
      </c>
      <c r="AG100" s="56" t="str">
        <f t="shared" si="35"/>
        <v/>
      </c>
      <c r="AH100" s="57" t="str" cm="1">
        <f t="array" ref="AH100">IF(AG100&lt;&gt;"", ToGrade(AG100), "")</f>
        <v/>
      </c>
      <c r="AI100" s="58" t="str">
        <f>'C ARTS'!L102</f>
        <v/>
      </c>
      <c r="AJ100" s="59" t="str" cm="1">
        <f t="array" ref="AJ100">IF(AG100&lt;&gt;"", ToRemark(AG100), "")</f>
        <v/>
      </c>
      <c r="AK100" s="60"/>
      <c r="AL100" s="57" t="str">
        <f>IFERROR(ROUND('GH LANG'!H102,0), "")</f>
        <v/>
      </c>
      <c r="AM100" s="57" t="str">
        <f>IFERROR(ROUND('GH LANG'!J102,0), "")</f>
        <v/>
      </c>
      <c r="AN100" s="61" t="str">
        <f t="shared" si="36"/>
        <v/>
      </c>
      <c r="AO100" s="57" t="str" cm="1">
        <f t="array" ref="AO100">IF(AN100&lt;&gt;"", ToGrade(AN100), "")</f>
        <v/>
      </c>
      <c r="AP100" s="58" t="str">
        <f>'GH LANG'!L102</f>
        <v/>
      </c>
      <c r="AQ100" s="59" t="str" cm="1">
        <f t="array" ref="AQ100">IF(AN100&lt;&gt;"", ToRemark(AN100), "")</f>
        <v/>
      </c>
      <c r="AR100" s="60"/>
      <c r="AS100" s="57" t="str">
        <f>IFERROR(ROUND(COMPUTING!H102,0), "")</f>
        <v/>
      </c>
      <c r="AT100" s="57" t="str">
        <f>IFERROR(ROUND(COMPUTING!J102,0), "")</f>
        <v/>
      </c>
      <c r="AU100" s="56" t="str">
        <f t="shared" si="37"/>
        <v/>
      </c>
      <c r="AV100" s="57" t="str" cm="1">
        <f t="array" ref="AV100">IF(AU100&lt;&gt;"", ToGrade(AU100), "")</f>
        <v/>
      </c>
      <c r="AW100" s="58" t="str">
        <f>COMPUTING!L102</f>
        <v/>
      </c>
      <c r="AX100" s="59" t="str" cm="1">
        <f t="array" ref="AX100">IF(AU100&lt;&gt;"", ToRemark(AU100), "")</f>
        <v/>
      </c>
      <c r="AY100" s="62"/>
      <c r="AZ100" s="57" t="str">
        <f>IFERROR(ROUND(HISTERY!H102,0), "")</f>
        <v/>
      </c>
      <c r="BA100" s="57" t="str">
        <f>IFERROR(ROUND(HISTERY!J102,0), "")</f>
        <v/>
      </c>
      <c r="BB100" s="56" t="str">
        <f t="shared" si="38"/>
        <v/>
      </c>
      <c r="BC100" s="57" t="str" cm="1">
        <f t="array" ref="BC100">IF(BB100&lt;&gt;"", ToGrade(BB100), "")</f>
        <v/>
      </c>
      <c r="BD100" s="58" t="str">
        <f>HISTERY!L102</f>
        <v/>
      </c>
      <c r="BE100" s="59" t="str" cm="1">
        <f t="array" ref="BE100">IF(BB100&lt;&gt;"", ToRemark(BB100), "")</f>
        <v/>
      </c>
      <c r="BF100" s="60"/>
      <c r="BG100" s="57" t="str">
        <f>IFERROR(ROUND(RME!H102,0), "")</f>
        <v/>
      </c>
      <c r="BH100" s="57" t="str">
        <f>IFERROR(ROUND(RME!J102,0), "")</f>
        <v/>
      </c>
      <c r="BI100" s="56" t="str">
        <f t="shared" si="39"/>
        <v/>
      </c>
      <c r="BJ100" s="57" t="str" cm="1">
        <f t="array" ref="BJ100">IF(BI100&lt;&gt;"", ToGrade(BI100), "")</f>
        <v/>
      </c>
      <c r="BK100" s="58" t="str">
        <f>RME!L102</f>
        <v/>
      </c>
      <c r="BL100" s="59" t="str" cm="1">
        <f t="array" ref="BL100">IF(BI100&lt;&gt;"", ToRemark(BI100), "")</f>
        <v/>
      </c>
      <c r="BM100" s="74"/>
      <c r="BN100" s="97" t="str">
        <f t="shared" si="40"/>
        <v/>
      </c>
      <c r="BO100" s="106" t="str">
        <f t="shared" si="41"/>
        <v/>
      </c>
      <c r="BP100" s="98" t="str" cm="1">
        <f t="array" ref="BP100">IFERROR(OrdinalNumber(_xlfn.RANK.EQ(BN100,$BN$3:$BN$101)), "")</f>
        <v/>
      </c>
      <c r="BQ100" s="104"/>
      <c r="BR100" s="99"/>
      <c r="BS100" s="111"/>
      <c r="BT100" s="83" t="str" cm="1">
        <f t="array" ref="BT100">IF(LEN(B100)&lt;&gt;0, GetTeacherRemark(BO100), "")</f>
        <v/>
      </c>
      <c r="BU100" s="86" t="str">
        <f t="shared" si="25"/>
        <v/>
      </c>
      <c r="BV100" s="86" t="str">
        <f t="shared" si="26"/>
        <v/>
      </c>
      <c r="BW100" s="86" t="str">
        <f t="shared" si="27"/>
        <v/>
      </c>
      <c r="BX100" s="86" t="str">
        <f t="shared" si="42"/>
        <v/>
      </c>
      <c r="BY100" s="115" t="str">
        <f t="shared" si="28"/>
        <v/>
      </c>
      <c r="BZ100" s="87" t="str">
        <f t="shared" si="29"/>
        <v/>
      </c>
      <c r="CA100" s="86" t="str">
        <f t="shared" si="30"/>
        <v/>
      </c>
      <c r="CB100" s="85"/>
    </row>
    <row r="101" spans="1:80" x14ac:dyDescent="0.25">
      <c r="A101" s="53" t="str">
        <v>99</v>
      </c>
      <c r="B101" s="54" t="str">
        <v/>
      </c>
      <c r="C101" s="55" t="str">
        <f>IFERROR(ROUND(ENGLISH!H103,0), "")</f>
        <v/>
      </c>
      <c r="D101" s="55" t="str">
        <f>IFERROR(ROUND(ENGLISH!J103,0), "")</f>
        <v/>
      </c>
      <c r="E101" s="56" t="str">
        <f t="shared" si="31"/>
        <v/>
      </c>
      <c r="F101" s="57" t="str" cm="1">
        <f t="array" ref="F101">IF(E101&lt;&gt;"", ToGrade(E101), "")</f>
        <v/>
      </c>
      <c r="G101" s="58" t="str">
        <f>ENGLISH!L103</f>
        <v/>
      </c>
      <c r="H101" s="59" t="str" cm="1">
        <f t="array" ref="H101">IF(E101&lt;&gt;"", ToRemark(E101), "")</f>
        <v/>
      </c>
      <c r="I101" s="60"/>
      <c r="J101" s="55" t="str">
        <f>IFERROR(ROUND(MATHS!H103,0), "")</f>
        <v/>
      </c>
      <c r="K101" s="55" t="str">
        <f>IFERROR(ROUND(MATHS!J103,0), "")</f>
        <v/>
      </c>
      <c r="L101" s="56" t="str">
        <f t="shared" si="32"/>
        <v/>
      </c>
      <c r="M101" s="57" t="str" cm="1">
        <f t="array" ref="M101">IF(L101&lt;&gt;"", ToGrade(L101), "")</f>
        <v/>
      </c>
      <c r="N101" s="58" t="str">
        <f>MATHS!L103</f>
        <v/>
      </c>
      <c r="O101" s="59" t="str" cm="1">
        <f t="array" ref="O101">IF(L101&lt;&gt;"", ToRemark(L101), "")</f>
        <v/>
      </c>
      <c r="P101" s="60"/>
      <c r="Q101" s="57" t="str">
        <f>IFERROR(ROUND(SCIENCE!H103,0), "")</f>
        <v/>
      </c>
      <c r="R101" s="57" t="str">
        <f>IFERROR(ROUND(SCIENCE!J103,0), "")</f>
        <v/>
      </c>
      <c r="S101" s="56" t="str">
        <f t="shared" si="33"/>
        <v/>
      </c>
      <c r="T101" s="57" t="str" cm="1">
        <f t="array" ref="T101">IF(S101&lt;&gt;"", ToGrade(S101), "")</f>
        <v/>
      </c>
      <c r="U101" s="58" t="str">
        <f>SCIENCE!L103</f>
        <v/>
      </c>
      <c r="V101" s="59" t="str" cm="1">
        <f t="array" ref="V101">IF(S101&lt;&gt;"", ToRemark(S101), "")</f>
        <v/>
      </c>
      <c r="W101" s="60"/>
      <c r="X101" s="57" t="str">
        <f>IFERROR(ROUND(OWOP!H103,0), "")</f>
        <v/>
      </c>
      <c r="Y101" s="57" t="str">
        <f>IFERROR(ROUND(OWOP!J103,0), "")</f>
        <v/>
      </c>
      <c r="Z101" s="56" t="str">
        <f t="shared" si="34"/>
        <v/>
      </c>
      <c r="AA101" s="57" t="str" cm="1">
        <f t="array" ref="AA101">IF(Z101&lt;&gt;"", ToGrade(Z101), "")</f>
        <v/>
      </c>
      <c r="AB101" s="58" t="str">
        <f>OWOP!L103</f>
        <v/>
      </c>
      <c r="AC101" s="59" t="str" cm="1">
        <f t="array" ref="AC101">IF(Z101&lt;&gt;"", ToRemark(Z101), "")</f>
        <v/>
      </c>
      <c r="AD101" s="60"/>
      <c r="AE101" s="57" t="str">
        <f>IFERROR(ROUND('C ARTS'!H103,0), "")</f>
        <v/>
      </c>
      <c r="AF101" s="57" t="str">
        <f>IFERROR(ROUND('C ARTS'!J103,0), "")</f>
        <v/>
      </c>
      <c r="AG101" s="56" t="str">
        <f t="shared" si="35"/>
        <v/>
      </c>
      <c r="AH101" s="57" t="str" cm="1">
        <f t="array" ref="AH101">IF(AG101&lt;&gt;"", ToGrade(AG101), "")</f>
        <v/>
      </c>
      <c r="AI101" s="58" t="str">
        <f>'C ARTS'!L103</f>
        <v/>
      </c>
      <c r="AJ101" s="59" t="str" cm="1">
        <f t="array" ref="AJ101">IF(AG101&lt;&gt;"", ToRemark(AG101), "")</f>
        <v/>
      </c>
      <c r="AK101" s="60"/>
      <c r="AL101" s="57" t="str">
        <f>IFERROR(ROUND('GH LANG'!H103,0), "")</f>
        <v/>
      </c>
      <c r="AM101" s="57" t="str">
        <f>IFERROR(ROUND('GH LANG'!J103,0), "")</f>
        <v/>
      </c>
      <c r="AN101" s="61" t="str">
        <f t="shared" si="36"/>
        <v/>
      </c>
      <c r="AO101" s="57" t="str" cm="1">
        <f t="array" ref="AO101">IF(AN101&lt;&gt;"", ToGrade(AN101), "")</f>
        <v/>
      </c>
      <c r="AP101" s="58" t="str">
        <f>'GH LANG'!L103</f>
        <v/>
      </c>
      <c r="AQ101" s="59" t="str" cm="1">
        <f t="array" ref="AQ101">IF(AN101&lt;&gt;"", ToRemark(AN101), "")</f>
        <v/>
      </c>
      <c r="AR101" s="60"/>
      <c r="AS101" s="57" t="str">
        <f>IFERROR(ROUND(COMPUTING!H103,0), "")</f>
        <v/>
      </c>
      <c r="AT101" s="57" t="str">
        <f>IFERROR(ROUND(COMPUTING!J103,0), "")</f>
        <v/>
      </c>
      <c r="AU101" s="56" t="str">
        <f t="shared" si="37"/>
        <v/>
      </c>
      <c r="AV101" s="57" t="str" cm="1">
        <f t="array" ref="AV101">IF(AU101&lt;&gt;"", ToGrade(AU101), "")</f>
        <v/>
      </c>
      <c r="AW101" s="58" t="str">
        <f>COMPUTING!L103</f>
        <v/>
      </c>
      <c r="AX101" s="59" t="str" cm="1">
        <f t="array" ref="AX101">IF(AU101&lt;&gt;"", ToRemark(AU101), "")</f>
        <v/>
      </c>
      <c r="AY101" s="62"/>
      <c r="AZ101" s="57" t="str">
        <f>IFERROR(ROUND(HISTERY!H103,0), "")</f>
        <v/>
      </c>
      <c r="BA101" s="57" t="str">
        <f>IFERROR(ROUND(HISTERY!J103,0), "")</f>
        <v/>
      </c>
      <c r="BB101" s="56" t="str">
        <f t="shared" si="38"/>
        <v/>
      </c>
      <c r="BC101" s="57" t="str" cm="1">
        <f t="array" ref="BC101">IF(BB101&lt;&gt;"", ToGrade(BB101), "")</f>
        <v/>
      </c>
      <c r="BD101" s="58" t="str">
        <f>HISTERY!L103</f>
        <v/>
      </c>
      <c r="BE101" s="59" t="str" cm="1">
        <f t="array" ref="BE101">IF(BB101&lt;&gt;"", ToRemark(BB101), "")</f>
        <v/>
      </c>
      <c r="BF101" s="60"/>
      <c r="BG101" s="57" t="str">
        <f>IFERROR(ROUND(RME!H103,0), "")</f>
        <v/>
      </c>
      <c r="BH101" s="57" t="str">
        <f>IFERROR(ROUND(RME!J103,0), "")</f>
        <v/>
      </c>
      <c r="BI101" s="56" t="str">
        <f t="shared" si="39"/>
        <v/>
      </c>
      <c r="BJ101" s="57" t="str" cm="1">
        <f t="array" ref="BJ101">IF(BI101&lt;&gt;"", ToGrade(BI101), "")</f>
        <v/>
      </c>
      <c r="BK101" s="58" t="str">
        <f>RME!L103</f>
        <v/>
      </c>
      <c r="BL101" s="59" t="str" cm="1">
        <f t="array" ref="BL101">IF(BI101&lt;&gt;"", ToRemark(BI101), "")</f>
        <v/>
      </c>
      <c r="BM101" s="74"/>
      <c r="BN101" s="97" t="str">
        <f t="shared" si="40"/>
        <v/>
      </c>
      <c r="BO101" s="106" t="str">
        <f t="shared" si="41"/>
        <v/>
      </c>
      <c r="BP101" s="98" t="str" cm="1">
        <f t="array" ref="BP101">IFERROR(OrdinalNumber(_xlfn.RANK.EQ(BN101,$BN$3:$BN$101)), "")</f>
        <v/>
      </c>
      <c r="BQ101" s="104"/>
      <c r="BR101" s="99"/>
      <c r="BS101" s="111"/>
      <c r="BT101" s="83" t="str" cm="1">
        <f t="array" ref="BT101">IF(LEN(B101)&lt;&gt;0, GetTeacherRemark(BO101), "")</f>
        <v/>
      </c>
      <c r="BU101" s="86" t="str">
        <f t="shared" si="25"/>
        <v/>
      </c>
      <c r="BV101" s="86" t="str">
        <f t="shared" si="26"/>
        <v/>
      </c>
      <c r="BW101" s="86" t="str">
        <f t="shared" si="27"/>
        <v/>
      </c>
      <c r="BX101" s="86" t="str">
        <f t="shared" si="42"/>
        <v/>
      </c>
      <c r="BY101" s="115" t="str">
        <f t="shared" si="28"/>
        <v/>
      </c>
      <c r="BZ101" s="87" t="str">
        <f t="shared" si="29"/>
        <v/>
      </c>
      <c r="CA101" s="86" t="str">
        <f t="shared" si="30"/>
        <v/>
      </c>
      <c r="CB101" s="85"/>
    </row>
    <row r="102" spans="1:80" x14ac:dyDescent="0.25">
      <c r="BS102" s="112"/>
      <c r="BU102" s="86"/>
      <c r="BV102" s="86"/>
      <c r="BW102" s="86"/>
      <c r="BX102" s="86"/>
      <c r="BY102" s="87"/>
      <c r="BZ102" s="87"/>
      <c r="CA102" s="86"/>
      <c r="CB102" s="85"/>
    </row>
    <row r="103" spans="1:80" x14ac:dyDescent="0.25">
      <c r="BU103" s="86"/>
      <c r="BV103" s="86"/>
      <c r="BW103" s="86"/>
      <c r="BX103" s="86"/>
      <c r="BY103" s="87"/>
      <c r="BZ103" s="87"/>
      <c r="CA103" s="86"/>
      <c r="CB103" s="85"/>
    </row>
    <row r="104" spans="1:80" x14ac:dyDescent="0.25">
      <c r="BU104" s="86"/>
      <c r="BV104" s="86"/>
      <c r="BW104" s="86"/>
      <c r="BX104" s="86"/>
      <c r="BY104" s="87"/>
      <c r="BZ104" s="87"/>
      <c r="CA104" s="86"/>
      <c r="CB104" s="85"/>
    </row>
    <row r="105" spans="1:80" x14ac:dyDescent="0.25">
      <c r="BU105" s="86"/>
      <c r="BV105" s="86"/>
      <c r="BW105" s="86"/>
      <c r="BX105" s="86"/>
      <c r="BY105" s="87"/>
      <c r="BZ105" s="87"/>
      <c r="CA105" s="86"/>
      <c r="CB105" s="85"/>
    </row>
  </sheetData>
  <sheetProtection algorithmName="SHA-512" hashValue="lHfjLH2ZMrCh+YktX05jVpwoDOSpzAFnlzYxJP1NzOxURCpV76DeR3LqPxuM/WA9wScksABkqv1r2qCCJBDAsA==" saltValue="DShe2euUsGPF53QzjzjRGQ==" spinCount="100000" sheet="1" objects="1" scenarios="1" formatColumns="0" selectLockedCells="1"/>
  <protectedRanges>
    <protectedRange algorithmName="SHA-512" hashValue="aDqNi67hr7mLBaSaNpIrvGT3qv27eP58F+sMb7wbHQ2cbMpnOs3iqlK4YGplaty2yNbtV3C1b72WqSYCirK9ng==" saltValue="BOauv0S5OgAQSIGkJK2rvg==" spinCount="100000" sqref="BR3:BR101" name="Attendance" securityDescriptor="O:WDG:WDD:(A;;CC;;;WD)"/>
    <protectedRange algorithmName="SHA-512" hashValue="mk2ZJ/0WMBM1/fSZDrR9HRCWIWyz4s9KiCDbN59hH2QyIy61STyaJEgoxhOloRw7FIQK/MtzVcJjd5XqrzoA8A==" saltValue="fZegIXV2CO0dq26mgNAmdg==" spinCount="100000" sqref="BT3:BT101" name="Teacher Remark" securityDescriptor="O:WDG:WDD:(A;;CC;;;WD)"/>
  </protectedRanges>
  <customSheetViews>
    <customSheetView guid="{DAFF8696-ECB7-4E31-A620-00DEB4156F0C}">
      <pane xSplit="70" ySplit="1" topLeftCell="BT2" activePane="bottomRight" state="frozen"/>
      <selection pane="bottomRight" activeCell="BY6" sqref="BY6"/>
    </customSheetView>
  </customSheetViews>
  <mergeCells count="15">
    <mergeCell ref="BN1:BN2"/>
    <mergeCell ref="BT1:BT2"/>
    <mergeCell ref="BR1:BR2"/>
    <mergeCell ref="BQ1:BQ2"/>
    <mergeCell ref="BP1:BP2"/>
    <mergeCell ref="BO1:BO2"/>
    <mergeCell ref="AL1:AQ1"/>
    <mergeCell ref="AS1:AX1"/>
    <mergeCell ref="AZ1:BE1"/>
    <mergeCell ref="BG1:BL1"/>
    <mergeCell ref="C1:H1"/>
    <mergeCell ref="J1:O1"/>
    <mergeCell ref="Q1:V1"/>
    <mergeCell ref="X1:AC1"/>
    <mergeCell ref="AE1:AJ1"/>
  </mergeCells>
  <dataValidations count="2">
    <dataValidation type="whole" allowBlank="1" showInputMessage="1" showErrorMessage="1" errorTitle="Invalid Data" error="Enter the number of times a student attended school" sqref="BR3:BR1048576" xr:uid="{FDDF5A1D-39C0-4B48-B422-A65CF83C1ABB}">
      <formula1>10</formula1>
      <formula2>65</formula2>
    </dataValidation>
    <dataValidation type="textLength" errorStyle="warning" operator="lessThan" allowBlank="1" showErrorMessage="1" error="Student's interest must not exceed 50 characters." sqref="BQ3:BQ101" xr:uid="{DDF9FAE5-1179-4B31-BBD9-2D8527B3516C}">
      <formula1>50</formula1>
    </dataValidation>
  </dataValidations>
  <hyperlinks>
    <hyperlink ref="C1:H1" location="ENGLISH!A1" display="ENGLISH" xr:uid="{ACD7972E-4E8B-4826-8D7E-250A6BB22934}"/>
    <hyperlink ref="J1:O1" location="MATHS!A1" display="MATHS" xr:uid="{FD3AEAEA-B0A7-47F7-8491-FBA058C0080E}"/>
    <hyperlink ref="Q1:V1" location="SCIENCE!A1" display="SCIENCE" xr:uid="{4E6CA9C8-8AEE-4E7E-A764-683267E291C4}"/>
    <hyperlink ref="X1:AC1" location="OWOP!A1" display="OWOP" xr:uid="{66469861-4C5A-49EE-B2DC-08E220DB6F0E}"/>
    <hyperlink ref="AE1:AJ1" location="'C ARTS'!A1" display="C. ARTS" xr:uid="{E19FD443-D785-41A1-BE22-C477552276B2}"/>
    <hyperlink ref="AL1:AQ1" location="'GH LANG'!A1" display="GH. LANG" xr:uid="{5DD6B33B-3723-4C44-99CD-695D1440A09E}"/>
    <hyperlink ref="AS1:AX1" location="COMPUTING!A1" display="COMPUTING" xr:uid="{94225AE6-7B5A-476E-89F4-D232E911FC8D}"/>
    <hyperlink ref="AZ1:BE1" location="HISTERY!A1" display="HISTORY" xr:uid="{681E2475-B36E-42F1-96EC-56BC88FC6B6F}"/>
    <hyperlink ref="BG1:BL1" location="RME!A1" display="RME" xr:uid="{A310E5A4-FD78-4B5E-8509-5F7F7AD06168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Data" error="Please choose from one of the options." xr:uid="{B03C5482-0790-4C64-861C-63F6CA716068}">
          <x14:formula1>
            <xm:f>SETTINGS!$D$27:$D$28</xm:f>
          </x14:formula1>
          <xm:sqref>BS3:BS101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ABA8A-B081-4E67-A814-983D1671E912}">
  <sheetPr codeName="Sheet13"/>
  <dimension ref="A1:F105"/>
  <sheetViews>
    <sheetView workbookViewId="0">
      <selection activeCell="B3" sqref="B3"/>
    </sheetView>
  </sheetViews>
  <sheetFormatPr defaultRowHeight="15" x14ac:dyDescent="0.25"/>
  <cols>
    <col min="1" max="1" width="8.28515625" customWidth="1"/>
  </cols>
  <sheetData>
    <row r="1" spans="1:6" x14ac:dyDescent="0.25">
      <c r="A1" s="85" t="s">
        <v>51</v>
      </c>
    </row>
    <row r="2" spans="1:6" x14ac:dyDescent="0.25">
      <c r="A2" s="85" t="e" cm="1" vm="1">
        <f t="array" ref="A2">_xlfn._xlws.FILTER(DASHBOARD!$K$3:$K$101,DASHBOARD!$K$3:$K$101&lt;&gt;"")</f>
        <v>#VALUE!</v>
      </c>
      <c r="E2" s="88"/>
    </row>
    <row r="3" spans="1:6" x14ac:dyDescent="0.25">
      <c r="A3" s="85"/>
    </row>
    <row r="4" spans="1:6" x14ac:dyDescent="0.25">
      <c r="A4" s="85"/>
    </row>
    <row r="5" spans="1:6" x14ac:dyDescent="0.25">
      <c r="A5" s="85"/>
      <c r="F5" s="88"/>
    </row>
    <row r="6" spans="1:6" x14ac:dyDescent="0.25">
      <c r="A6" s="85"/>
    </row>
    <row r="7" spans="1:6" x14ac:dyDescent="0.25">
      <c r="A7" s="85"/>
    </row>
    <row r="8" spans="1:6" x14ac:dyDescent="0.25">
      <c r="A8" s="85"/>
    </row>
    <row r="9" spans="1:6" x14ac:dyDescent="0.25">
      <c r="A9" s="85"/>
    </row>
    <row r="10" spans="1:6" x14ac:dyDescent="0.25">
      <c r="A10" s="85"/>
    </row>
    <row r="11" spans="1:6" x14ac:dyDescent="0.25">
      <c r="A11" s="85"/>
    </row>
    <row r="12" spans="1:6" x14ac:dyDescent="0.25">
      <c r="A12" s="85"/>
    </row>
    <row r="13" spans="1:6" x14ac:dyDescent="0.25">
      <c r="A13" s="85"/>
    </row>
    <row r="14" spans="1:6" x14ac:dyDescent="0.25">
      <c r="A14" s="85"/>
    </row>
    <row r="15" spans="1:6" x14ac:dyDescent="0.25">
      <c r="A15" s="85"/>
    </row>
    <row r="16" spans="1:6" x14ac:dyDescent="0.25">
      <c r="A16" s="85"/>
    </row>
    <row r="17" spans="1:1" x14ac:dyDescent="0.25">
      <c r="A17" s="85"/>
    </row>
    <row r="18" spans="1:1" x14ac:dyDescent="0.25">
      <c r="A18" s="85"/>
    </row>
    <row r="19" spans="1:1" x14ac:dyDescent="0.25">
      <c r="A19" s="85"/>
    </row>
    <row r="20" spans="1:1" x14ac:dyDescent="0.25">
      <c r="A20" s="85"/>
    </row>
    <row r="21" spans="1:1" x14ac:dyDescent="0.25">
      <c r="A21" s="85"/>
    </row>
    <row r="22" spans="1:1" x14ac:dyDescent="0.25">
      <c r="A22" s="85"/>
    </row>
    <row r="23" spans="1:1" x14ac:dyDescent="0.25">
      <c r="A23" s="85"/>
    </row>
    <row r="24" spans="1:1" x14ac:dyDescent="0.25">
      <c r="A24" s="85"/>
    </row>
    <row r="25" spans="1:1" x14ac:dyDescent="0.25">
      <c r="A25" s="85"/>
    </row>
    <row r="26" spans="1:1" x14ac:dyDescent="0.25">
      <c r="A26" s="85"/>
    </row>
    <row r="27" spans="1:1" x14ac:dyDescent="0.25">
      <c r="A27" s="85"/>
    </row>
    <row r="28" spans="1:1" x14ac:dyDescent="0.25">
      <c r="A28" s="85"/>
    </row>
    <row r="29" spans="1:1" x14ac:dyDescent="0.25">
      <c r="A29" s="85"/>
    </row>
    <row r="30" spans="1:1" x14ac:dyDescent="0.25">
      <c r="A30" s="85"/>
    </row>
    <row r="31" spans="1:1" x14ac:dyDescent="0.25">
      <c r="A31" s="85"/>
    </row>
    <row r="32" spans="1:1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</sheetData>
  <sheetProtection algorithmName="SHA-512" hashValue="Bk9vdZ39JYUNh/GHKELbjfZAkdsKCbNDyp778prRdVZbN2CyGWCr9CXk+azI+D3BEpBiGFvFE+a2Tnhnai9WzA==" saltValue="LD8JcHpYG1Cn2uFiWHGFZw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4" name="SelectStudent">
              <controlPr defaultSize="0" autoLine="0" autoPict="0" macro="[0]!SelectStudent_Change">
                <anchor moveWithCells="1">
                  <from>
                    <xdr:col>5</xdr:col>
                    <xdr:colOff>238125</xdr:colOff>
                    <xdr:row>1</xdr:row>
                    <xdr:rowOff>123825</xdr:rowOff>
                  </from>
                  <to>
                    <xdr:col>8</xdr:col>
                    <xdr:colOff>152400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9534-303F-4216-9A89-C8F9DA3299A4}">
  <sheetPr codeName="Sheet14"/>
  <dimension ref="A2:M55"/>
  <sheetViews>
    <sheetView topLeftCell="A17" workbookViewId="0">
      <selection activeCell="B29" sqref="B29"/>
    </sheetView>
  </sheetViews>
  <sheetFormatPr defaultRowHeight="15" x14ac:dyDescent="0.25"/>
  <cols>
    <col min="1" max="1" width="7.28515625" style="90" customWidth="1"/>
    <col min="2" max="2" width="12.85546875" style="90" customWidth="1"/>
    <col min="3" max="3" width="9.140625" style="90"/>
    <col min="4" max="4" width="9.28515625" style="90" customWidth="1"/>
    <col min="5" max="7" width="9.140625" style="90"/>
    <col min="8" max="9" width="9.140625" style="89"/>
    <col min="10" max="10" width="9.140625" style="89" customWidth="1"/>
    <col min="11" max="12" width="9.140625" style="89"/>
    <col min="13" max="13" width="11" style="89" customWidth="1"/>
    <col min="14" max="16384" width="9.140625" style="89"/>
  </cols>
  <sheetData>
    <row r="2" spans="1:13" s="91" customFormat="1" ht="23.25" customHeight="1" x14ac:dyDescent="0.25">
      <c r="A2" s="92"/>
      <c r="B2" s="154" t="s">
        <v>68</v>
      </c>
      <c r="C2" s="155"/>
      <c r="D2" s="155"/>
      <c r="E2" s="155"/>
      <c r="F2" s="155"/>
      <c r="G2" s="156"/>
      <c r="I2" s="168" t="s">
        <v>67</v>
      </c>
      <c r="J2" s="168"/>
      <c r="K2" s="168"/>
      <c r="L2" s="168"/>
      <c r="M2" s="168"/>
    </row>
    <row r="3" spans="1:13" ht="18" customHeight="1" x14ac:dyDescent="0.25">
      <c r="B3" s="94" t="s">
        <v>98</v>
      </c>
      <c r="C3" s="174" t="s">
        <v>80</v>
      </c>
      <c r="D3" s="175"/>
      <c r="E3" s="175"/>
      <c r="F3" s="175"/>
      <c r="G3" s="176"/>
      <c r="I3" s="172" t="s">
        <v>37</v>
      </c>
      <c r="J3" s="173"/>
      <c r="K3" s="169" t="str">
        <f>IF(class&lt;&gt;"", class, "------")</f>
        <v>------</v>
      </c>
      <c r="L3" s="170"/>
      <c r="M3" s="171"/>
    </row>
    <row r="4" spans="1:13" ht="18" customHeight="1" x14ac:dyDescent="0.25">
      <c r="B4" s="95" t="s">
        <v>69</v>
      </c>
      <c r="C4" s="177" t="s">
        <v>62</v>
      </c>
      <c r="D4" s="178"/>
      <c r="E4" s="178"/>
      <c r="F4" s="178"/>
      <c r="G4" s="179"/>
      <c r="I4" s="172" t="s">
        <v>41</v>
      </c>
      <c r="J4" s="173"/>
      <c r="K4" s="169">
        <f>IF(class_size&lt;&gt;"", class_size, "------")</f>
        <v>0</v>
      </c>
      <c r="L4" s="170"/>
      <c r="M4" s="171"/>
    </row>
    <row r="5" spans="1:13" ht="18" customHeight="1" x14ac:dyDescent="0.25">
      <c r="B5" s="95" t="s">
        <v>70</v>
      </c>
      <c r="C5" s="177" t="s">
        <v>61</v>
      </c>
      <c r="D5" s="178"/>
      <c r="E5" s="178"/>
      <c r="F5" s="178"/>
      <c r="G5" s="179"/>
      <c r="I5" s="172" t="s">
        <v>38</v>
      </c>
      <c r="J5" s="173"/>
      <c r="K5" s="169" t="str">
        <f>IF(term&lt;&gt;"", term, "------")</f>
        <v>------</v>
      </c>
      <c r="L5" s="170"/>
      <c r="M5" s="171"/>
    </row>
    <row r="6" spans="1:13" ht="18" customHeight="1" x14ac:dyDescent="0.25">
      <c r="B6" s="95" t="s">
        <v>71</v>
      </c>
      <c r="C6" s="177" t="s">
        <v>60</v>
      </c>
      <c r="D6" s="178"/>
      <c r="E6" s="178"/>
      <c r="F6" s="178"/>
      <c r="G6" s="179"/>
      <c r="I6" s="172" t="s">
        <v>63</v>
      </c>
      <c r="J6" s="173"/>
      <c r="K6" s="169" t="str">
        <f>IF(total_attendance&lt;&gt;"", total_attendance, "------")</f>
        <v>------</v>
      </c>
      <c r="L6" s="170"/>
      <c r="M6" s="171"/>
    </row>
    <row r="7" spans="1:13" ht="18" customHeight="1" x14ac:dyDescent="0.25">
      <c r="B7" s="95" t="s">
        <v>72</v>
      </c>
      <c r="C7" s="177" t="s">
        <v>59</v>
      </c>
      <c r="D7" s="178"/>
      <c r="E7" s="178"/>
      <c r="F7" s="178"/>
      <c r="G7" s="179"/>
      <c r="I7" s="172" t="s">
        <v>50</v>
      </c>
      <c r="J7" s="173"/>
      <c r="K7" s="180" t="str">
        <f>IF(vacation_date&lt;&gt;"", vacation_date, "------")</f>
        <v>------</v>
      </c>
      <c r="L7" s="181"/>
      <c r="M7" s="182"/>
    </row>
    <row r="8" spans="1:13" ht="18" customHeight="1" x14ac:dyDescent="0.25">
      <c r="B8" s="95" t="s">
        <v>73</v>
      </c>
      <c r="C8" s="177" t="s">
        <v>53</v>
      </c>
      <c r="D8" s="178"/>
      <c r="E8" s="178"/>
      <c r="F8" s="178"/>
      <c r="G8" s="179"/>
      <c r="I8" s="172" t="s">
        <v>64</v>
      </c>
      <c r="J8" s="173"/>
      <c r="K8" s="180" t="str">
        <f>IF(reopen_date&lt;&gt;"", reopen_date, "------")</f>
        <v>------</v>
      </c>
      <c r="L8" s="181"/>
      <c r="M8" s="182"/>
    </row>
    <row r="9" spans="1:13" ht="18" customHeight="1" x14ac:dyDescent="0.25">
      <c r="B9" s="95" t="s">
        <v>74</v>
      </c>
      <c r="C9" s="177" t="s">
        <v>57</v>
      </c>
      <c r="D9" s="178"/>
      <c r="E9" s="178"/>
      <c r="F9" s="178"/>
      <c r="G9" s="179"/>
      <c r="I9" s="172" t="s">
        <v>65</v>
      </c>
      <c r="J9" s="173"/>
      <c r="K9" s="169" t="str">
        <f>IF(selected_school&lt;&gt;"", selected_school, "-------------------------------------")</f>
        <v>-------------------------------------</v>
      </c>
      <c r="L9" s="170"/>
      <c r="M9" s="171"/>
    </row>
    <row r="10" spans="1:13" ht="18" customHeight="1" x14ac:dyDescent="0.25">
      <c r="B10" s="95" t="s">
        <v>75</v>
      </c>
      <c r="C10" s="177" t="s">
        <v>54</v>
      </c>
      <c r="D10" s="178"/>
      <c r="E10" s="178"/>
      <c r="F10" s="178"/>
      <c r="G10" s="179"/>
    </row>
    <row r="11" spans="1:13" ht="18" customHeight="1" x14ac:dyDescent="0.25">
      <c r="B11" s="95" t="s">
        <v>76</v>
      </c>
      <c r="C11" s="177" t="s">
        <v>56</v>
      </c>
      <c r="D11" s="178"/>
      <c r="E11" s="178"/>
      <c r="F11" s="178"/>
      <c r="G11" s="179"/>
      <c r="I11" s="157" t="s">
        <v>66</v>
      </c>
      <c r="J11" s="158"/>
      <c r="K11" s="158"/>
      <c r="L11" s="159"/>
    </row>
    <row r="12" spans="1:13" ht="18" customHeight="1" x14ac:dyDescent="0.25">
      <c r="B12" s="95" t="s">
        <v>77</v>
      </c>
      <c r="C12" s="177" t="s">
        <v>55</v>
      </c>
      <c r="D12" s="178"/>
      <c r="E12" s="178"/>
      <c r="F12" s="178"/>
      <c r="G12" s="179"/>
      <c r="I12" s="93" t="s">
        <v>79</v>
      </c>
      <c r="J12" s="93" t="s">
        <v>25</v>
      </c>
      <c r="K12" s="183" t="s">
        <v>52</v>
      </c>
      <c r="L12" s="184"/>
    </row>
    <row r="13" spans="1:13" ht="18" customHeight="1" x14ac:dyDescent="0.25">
      <c r="B13" s="95" t="s">
        <v>78</v>
      </c>
      <c r="C13" s="177" t="s">
        <v>58</v>
      </c>
      <c r="D13" s="178"/>
      <c r="E13" s="178"/>
      <c r="F13" s="178"/>
      <c r="G13" s="179"/>
      <c r="I13" s="38" t="s">
        <v>87</v>
      </c>
      <c r="J13" s="18" t="s">
        <v>81</v>
      </c>
      <c r="K13" s="160" t="s">
        <v>92</v>
      </c>
      <c r="L13" s="161"/>
    </row>
    <row r="14" spans="1:13" ht="18" customHeight="1" x14ac:dyDescent="0.25">
      <c r="B14" s="96"/>
      <c r="C14" s="96"/>
      <c r="D14" s="96"/>
      <c r="E14" s="96"/>
      <c r="F14" s="96"/>
      <c r="G14" s="96"/>
      <c r="I14" s="38" t="s">
        <v>76</v>
      </c>
      <c r="J14" s="18" t="s">
        <v>82</v>
      </c>
      <c r="K14" s="160" t="s">
        <v>93</v>
      </c>
      <c r="L14" s="161"/>
    </row>
    <row r="15" spans="1:13" ht="18" customHeight="1" x14ac:dyDescent="0.25">
      <c r="B15" s="162" t="s">
        <v>100</v>
      </c>
      <c r="C15" s="162"/>
      <c r="D15" s="165" cm="1">
        <f t="array" ref="D15">pass_mark</f>
        <v>35</v>
      </c>
      <c r="E15" s="165"/>
      <c r="I15" s="38" t="s">
        <v>88</v>
      </c>
      <c r="J15" s="18" t="s">
        <v>83</v>
      </c>
      <c r="K15" s="160" t="s">
        <v>94</v>
      </c>
      <c r="L15" s="161"/>
    </row>
    <row r="16" spans="1:13" ht="18" customHeight="1" x14ac:dyDescent="0.25">
      <c r="B16" s="163"/>
      <c r="C16" s="163"/>
      <c r="D16" s="166"/>
      <c r="E16" s="166"/>
      <c r="I16" s="38" t="s">
        <v>89</v>
      </c>
      <c r="J16" s="18" t="s">
        <v>84</v>
      </c>
      <c r="K16" s="160" t="s">
        <v>95</v>
      </c>
      <c r="L16" s="161"/>
    </row>
    <row r="17" spans="2:12" ht="18" customHeight="1" x14ac:dyDescent="0.25">
      <c r="B17" s="164"/>
      <c r="C17" s="164"/>
      <c r="D17" s="167"/>
      <c r="E17" s="167"/>
      <c r="I17" s="38" t="s">
        <v>90</v>
      </c>
      <c r="J17" s="18" t="s">
        <v>85</v>
      </c>
      <c r="K17" s="160" t="s">
        <v>96</v>
      </c>
      <c r="L17" s="161"/>
    </row>
    <row r="18" spans="2:12" ht="18" customHeight="1" x14ac:dyDescent="0.25">
      <c r="I18" s="38" t="s">
        <v>91</v>
      </c>
      <c r="J18" s="18" t="s">
        <v>86</v>
      </c>
      <c r="K18" s="160" t="s">
        <v>97</v>
      </c>
      <c r="L18" s="161"/>
    </row>
    <row r="19" spans="2:12" ht="18" customHeight="1" x14ac:dyDescent="0.25"/>
    <row r="20" spans="2:12" ht="18" customHeight="1" x14ac:dyDescent="0.25">
      <c r="B20" s="189" t="s">
        <v>101</v>
      </c>
      <c r="C20" s="190"/>
      <c r="D20" s="190"/>
      <c r="E20" s="190"/>
      <c r="F20" s="190"/>
      <c r="G20" s="190"/>
      <c r="H20" s="190"/>
      <c r="I20" s="191"/>
    </row>
    <row r="21" spans="2:12" ht="18" customHeight="1" x14ac:dyDescent="0.25">
      <c r="B21" s="192"/>
      <c r="C21" s="193"/>
      <c r="D21" s="193"/>
      <c r="E21" s="193"/>
      <c r="F21" s="193"/>
      <c r="G21" s="193"/>
      <c r="H21" s="193"/>
      <c r="I21" s="194"/>
    </row>
    <row r="22" spans="2:12" ht="18" customHeight="1" x14ac:dyDescent="0.25">
      <c r="E22" s="185" t="s">
        <v>102</v>
      </c>
      <c r="F22" s="186"/>
    </row>
    <row r="23" spans="2:12" ht="18" customHeight="1" x14ac:dyDescent="0.25">
      <c r="E23" s="187"/>
      <c r="F23" s="188"/>
    </row>
    <row r="24" spans="2:12" ht="18" customHeight="1" x14ac:dyDescent="0.25"/>
    <row r="25" spans="2:12" ht="18" customHeight="1" x14ac:dyDescent="0.25"/>
    <row r="26" spans="2:12" ht="18" customHeight="1" x14ac:dyDescent="0.25">
      <c r="B26" s="107" t="s">
        <v>46</v>
      </c>
      <c r="C26" s="107" t="s">
        <v>47</v>
      </c>
      <c r="D26" s="107" t="s">
        <v>48</v>
      </c>
    </row>
    <row r="27" spans="2:12" ht="18" customHeight="1" x14ac:dyDescent="0.25">
      <c r="B27" s="108" t="s">
        <v>104</v>
      </c>
      <c r="C27" s="109" t="s">
        <v>17</v>
      </c>
      <c r="D27" s="109" t="str" cm="1">
        <f t="array" ref="D27">GetPromotedTo(term,class, 100)</f>
        <v>-----</v>
      </c>
    </row>
    <row r="28" spans="2:12" ht="18" customHeight="1" x14ac:dyDescent="0.25">
      <c r="B28" s="108" t="s">
        <v>105</v>
      </c>
      <c r="C28" s="109" t="s">
        <v>18</v>
      </c>
      <c r="D28" s="110" t="s">
        <v>49</v>
      </c>
    </row>
    <row r="29" spans="2:12" ht="18" customHeight="1" x14ac:dyDescent="0.25">
      <c r="B29" s="108" t="s">
        <v>106</v>
      </c>
      <c r="C29" s="109" t="s">
        <v>19</v>
      </c>
      <c r="D29" s="109"/>
    </row>
    <row r="30" spans="2:12" ht="18" customHeight="1" x14ac:dyDescent="0.25"/>
    <row r="31" spans="2:12" ht="18" customHeight="1" x14ac:dyDescent="0.25"/>
    <row r="32" spans="2:1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</sheetData>
  <sheetProtection algorithmName="SHA-512" hashValue="8kqi1k75vR5/PDJ3ftGsDaxW7D+3PQ7Iq2lCJp7xhIY3zFZsxMcJdEGKUr0AMAwwu1RTauhwYtM4UX7GTOG0Bw==" saltValue="fUwcCf8bkJSeBpp14Bi67Q==" spinCount="100000" sheet="1" objects="1" scenarios="1" selectLockedCells="1"/>
  <mergeCells count="39">
    <mergeCell ref="K12:L12"/>
    <mergeCell ref="E22:F23"/>
    <mergeCell ref="B20:I21"/>
    <mergeCell ref="C11:G11"/>
    <mergeCell ref="C12:G12"/>
    <mergeCell ref="C13:G13"/>
    <mergeCell ref="K18:L18"/>
    <mergeCell ref="K4:M4"/>
    <mergeCell ref="K5:M5"/>
    <mergeCell ref="K6:M6"/>
    <mergeCell ref="K7:M7"/>
    <mergeCell ref="K8:M8"/>
    <mergeCell ref="I4:J4"/>
    <mergeCell ref="I5:J5"/>
    <mergeCell ref="I6:J6"/>
    <mergeCell ref="I7:J7"/>
    <mergeCell ref="I8:J8"/>
    <mergeCell ref="C7:G7"/>
    <mergeCell ref="C8:G8"/>
    <mergeCell ref="C9:G9"/>
    <mergeCell ref="C10:G10"/>
    <mergeCell ref="K9:M9"/>
    <mergeCell ref="I9:J9"/>
    <mergeCell ref="B2:G2"/>
    <mergeCell ref="I11:L11"/>
    <mergeCell ref="K13:L13"/>
    <mergeCell ref="K14:L14"/>
    <mergeCell ref="B15:C17"/>
    <mergeCell ref="D15:E17"/>
    <mergeCell ref="I2:M2"/>
    <mergeCell ref="K3:M3"/>
    <mergeCell ref="I3:J3"/>
    <mergeCell ref="K15:L15"/>
    <mergeCell ref="K16:L16"/>
    <mergeCell ref="K17:L17"/>
    <mergeCell ref="C3:G3"/>
    <mergeCell ref="C4:G4"/>
    <mergeCell ref="C5:G5"/>
    <mergeCell ref="C6:G6"/>
  </mergeCells>
  <phoneticPr fontId="14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77AF07-BF08-424A-9363-B29185B47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DASHBOARD</vt:lpstr>
      <vt:lpstr>ENGLISH</vt:lpstr>
      <vt:lpstr>MATHS</vt:lpstr>
      <vt:lpstr>SCIENCE</vt:lpstr>
      <vt:lpstr>OWOP</vt:lpstr>
      <vt:lpstr>RME</vt:lpstr>
      <vt:lpstr>COMPUTING</vt:lpstr>
      <vt:lpstr>HISTERY</vt:lpstr>
      <vt:lpstr>GH LANG</vt:lpstr>
      <vt:lpstr>C ARTS</vt:lpstr>
      <vt:lpstr>MASTER-SHEET</vt:lpstr>
      <vt:lpstr>ANALYSIS</vt:lpstr>
      <vt:lpstr>SETTINGS</vt:lpstr>
      <vt:lpstr>class</vt:lpstr>
      <vt:lpstr>class_size</vt:lpstr>
      <vt:lpstr>pass_mark</vt:lpstr>
      <vt:lpstr>reopen_date</vt:lpstr>
      <vt:lpstr>selected_school</vt:lpstr>
      <vt:lpstr>students</vt:lpstr>
      <vt:lpstr>term</vt:lpstr>
      <vt:lpstr>total_attendance</vt:lpstr>
      <vt:lpstr>vacation_date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Kweku Asiedu</dc:creator>
  <cp:lastModifiedBy>Kweku Asiedu</cp:lastModifiedBy>
  <cp:lastPrinted>2024-01-08T12:00:36Z</cp:lastPrinted>
  <dcterms:created xsi:type="dcterms:W3CDTF">2015-06-05T18:17:20Z</dcterms:created>
  <dcterms:modified xsi:type="dcterms:W3CDTF">2024-04-27T08:26:10Z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hisWorkbook.GoToDashboardSheet_1" visible="true" label="DASHBOARD" imageMso="ListMacros" onAction="ThisWorkbook.GoToDashboardSheet"/>
      </mso:documentControls>
    </mso:qat>
  </mso:ribbon>
</mso:customUI>
</file>